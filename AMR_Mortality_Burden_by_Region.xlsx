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20" yWindow="360" windowWidth="18820" windowHeight="6060" activeTab="3"/>
  </bookViews>
  <sheets>
    <sheet name="AMR Mortality Analysis" sheetId="2" r:id="rId1"/>
    <sheet name="AMR Dashboard" sheetId="3" r:id="rId2"/>
    <sheet name="Raw data" sheetId="1" r:id="rId3"/>
    <sheet name="AMR Mortality dashboard" sheetId="4" r:id="rId4"/>
  </sheets>
  <calcPr calcId="0"/>
  <pivotCaches>
    <pivotCache cacheId="2" r:id="rId5"/>
  </pivotCaches>
</workbook>
</file>

<file path=xl/sharedStrings.xml><?xml version="1.0" encoding="utf-8"?>
<sst xmlns="http://schemas.openxmlformats.org/spreadsheetml/2006/main" count="73" uniqueCount="55">
  <si>
    <t>year</t>
  </si>
  <si>
    <t>who_region</t>
  </si>
  <si>
    <t>who_region_name</t>
  </si>
  <si>
    <t>amr_attributable_deaths</t>
  </si>
  <si>
    <t>amr_attributable_deaths_lower_ci</t>
  </si>
  <si>
    <t>amr_attributable_deaths_upper_ci</t>
  </si>
  <si>
    <t>amr_associated_deaths</t>
  </si>
  <si>
    <t>amr_associated_deaths_lower_ci</t>
  </si>
  <si>
    <t>amr_associated_deaths_upper_ci</t>
  </si>
  <si>
    <t>amr_attributable_rate_per_100k</t>
  </si>
  <si>
    <t>amr_associated_rate_per_100k</t>
  </si>
  <si>
    <t>leading_pathogen_drug_combo</t>
  </si>
  <si>
    <t>data_quality_flag</t>
  </si>
  <si>
    <t>primary_source</t>
  </si>
  <si>
    <t>source_doi</t>
  </si>
  <si>
    <t>GLO</t>
  </si>
  <si>
    <t>Global</t>
  </si>
  <si>
    <t>MRSA (130,000+); 3GC-resistant E.coli; carbapenem-resistant A.baumannii</t>
  </si>
  <si>
    <t>Very High â€“ GRAM Project Lancet 2022, 204 countries, 471M records</t>
  </si>
  <si>
    <t>Murray et al., The Lancet 2022;399(10325):629-655</t>
  </si>
  <si>
    <t>10.1016/S0140-6736(21)02724-0</t>
  </si>
  <si>
    <t>MRSA (130,000 deaths, doubled from 1990); carbapenem-resistant A.baumannii</t>
  </si>
  <si>
    <t>Very High â€“ GRAM Project Lancet 2024 (1990-2021 + 2050 forecasts)</t>
  </si>
  <si>
    <t>GRAM Lancet 2024; Murray et al. Lancet</t>
  </si>
  <si>
    <t>10.1016/S0140-6736(24)01867-1</t>
  </si>
  <si>
    <t>AFR</t>
  </si>
  <si>
    <t>Africa</t>
  </si>
  <si>
    <t>S.pneumoniae; K.pneumoniae; E.coli; S.aureus (each &gt;100K associated deaths)</t>
  </si>
  <si>
    <t>Very High â€“ GRAM Africa sub-study, Lancet 2024</t>
  </si>
  <si>
    <t>GRAM Africa Lancet 2024</t>
  </si>
  <si>
    <t>EUR</t>
  </si>
  <si>
    <t>Europe</t>
  </si>
  <si>
    <t>E.coli; S.aureus; K.pneumoniae; P.aeruginosa; E.faecium</t>
  </si>
  <si>
    <t>Very High â€“ GRAM European region sub-study, 53 countries</t>
  </si>
  <si>
    <t>Cassini et al., Lancet Infect Dis 2022; GRAM Europe PMC9630253</t>
  </si>
  <si>
    <t>PMC9630253</t>
  </si>
  <si>
    <t>SEAR</t>
  </si>
  <si>
    <t>South Asia*</t>
  </si>
  <si>
    <t>MDR-TB; 3GC-resistant Enterobacterales; MRSA</t>
  </si>
  <si>
    <t>High â€“ GRAM 2022 regional death rate per 100K; South Asia = India+Pakistan+Bangladesh+Nepal+Bhutan</t>
  </si>
  <si>
    <t>HIC</t>
  </si>
  <si>
    <t>High-Income Countries</t>
  </si>
  <si>
    <t>E.coli; MRSA; K.pneumoniae</t>
  </si>
  <si>
    <t>High â€“ GRAM 2022 HIC rate per 100K</t>
  </si>
  <si>
    <t>AUS</t>
  </si>
  <si>
    <t>Australasia</t>
  </si>
  <si>
    <t>E.coli; MRSA</t>
  </si>
  <si>
    <t>High â€“ GRAM 2022 lowest regional burden</t>
  </si>
  <si>
    <t>Global (projected)</t>
  </si>
  <si>
    <t>MRSA; carbapenem-resistant Enterobacterales; MDR-TB</t>
  </si>
  <si>
    <t>High â€“ GRAM Lancet 2024 projection; 67.5% increase from 2021</t>
  </si>
  <si>
    <t>GRAM Lancet 2024 forecasts to 2050</t>
  </si>
  <si>
    <t>Row Labels</t>
  </si>
  <si>
    <t>Grand Total</t>
  </si>
  <si>
    <t>Sum of amr_attributable_deaths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</si>
</sst>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[AMR_Mortality_Burden_by_Region.xlsx]AMR Mortality Analysis!PivotTable1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600"/>
              <a:t>AMR</a:t>
            </a:r>
            <a:r>
              <a:rPr lang="en-US" sz="1600" baseline="0"/>
              <a:t> Attributable Deaths by WHO Region</a:t>
            </a:r>
            <a:endParaRPr lang="en-US" sz="1600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'AMR Mortality Analysis'!$B$3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'AMR Mortality Analysis'!$A$4:$A$11</c:f>
              <c:strCache>
                <c:ptCount val="7"/>
                <c:pt idx="0">
                  <c:v>Africa</c:v>
                </c:pt>
                <c:pt idx="1">
                  <c:v>Australasia</c:v>
                </c:pt>
                <c:pt idx="2">
                  <c:v>Europe</c:v>
                </c:pt>
                <c:pt idx="3">
                  <c:v>Global</c:v>
                </c:pt>
                <c:pt idx="4">
                  <c:v>Global (projected)</c:v>
                </c:pt>
                <c:pt idx="5">
                  <c:v>High-Income Countries</c:v>
                </c:pt>
                <c:pt idx="6">
                  <c:v>South Asia*</c:v>
                </c:pt>
              </c:strCache>
            </c:strRef>
          </c:cat>
          <c:val>
            <c:numRef>
              <c:f>'AMR Mortality Analysis'!$B$4:$B$11</c:f>
              <c:numCache>
                <c:formatCode>General</c:formatCode>
                <c:ptCount val="7"/>
                <c:pt idx="0">
                  <c:v>250000</c:v>
                </c:pt>
                <c:pt idx="2">
                  <c:v>133000</c:v>
                </c:pt>
                <c:pt idx="3">
                  <c:v>2410000</c:v>
                </c:pt>
                <c:pt idx="4">
                  <c:v>1910000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671296"/>
        <c:axId val="37672832"/>
      </c:barChart>
      <c:catAx>
        <c:axId val="37671296"/>
        <c:scaling>
          <c:orientation val="minMax"/>
        </c:scaling>
        <c:delete val="0"/>
        <c:axPos val="b"/>
        <c:majorTickMark val="out"/>
        <c:minorTickMark val="none"/>
        <c:tickLblPos val="nextTo"/>
        <c:crossAx val="37672832"/>
        <c:crosses val="autoZero"/>
        <c:auto val="1"/>
        <c:lblAlgn val="ctr"/>
        <c:lblOffset val="100"/>
        <c:noMultiLvlLbl val="0"/>
      </c:catAx>
      <c:valAx>
        <c:axId val="37672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76712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[AMR_Mortality_Burden_by_Region.xlsx]AMR Mortality Analysis!PivotTable1</c:name>
    <c:fmtId val="10"/>
  </c:pivotSource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baseline="0">
                <a:effectLst/>
              </a:rPr>
              <a:t>AMR Attributable Deaths by WHO Region</a:t>
            </a:r>
            <a:endParaRPr lang="en-US" sz="1600">
              <a:effectLst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>
        <c:manualLayout>
          <c:xMode val="edge"/>
          <c:yMode val="edge"/>
          <c:x val="0.42444444444444451"/>
          <c:y val="0.12397929425488481"/>
        </c:manualLayout>
      </c:layout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'AMR Mortality Analysis'!$B$3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'AMR Mortality Analysis'!$A$4:$A$11</c:f>
              <c:strCache>
                <c:ptCount val="7"/>
                <c:pt idx="0">
                  <c:v>Africa</c:v>
                </c:pt>
                <c:pt idx="1">
                  <c:v>Australasia</c:v>
                </c:pt>
                <c:pt idx="2">
                  <c:v>Europe</c:v>
                </c:pt>
                <c:pt idx="3">
                  <c:v>Global</c:v>
                </c:pt>
                <c:pt idx="4">
                  <c:v>Global (projected)</c:v>
                </c:pt>
                <c:pt idx="5">
                  <c:v>High-Income Countries</c:v>
                </c:pt>
                <c:pt idx="6">
                  <c:v>South Asia*</c:v>
                </c:pt>
              </c:strCache>
            </c:strRef>
          </c:cat>
          <c:val>
            <c:numRef>
              <c:f>'AMR Mortality Analysis'!$B$4:$B$11</c:f>
              <c:numCache>
                <c:formatCode>General</c:formatCode>
                <c:ptCount val="7"/>
                <c:pt idx="0">
                  <c:v>250000</c:v>
                </c:pt>
                <c:pt idx="2">
                  <c:v>133000</c:v>
                </c:pt>
                <c:pt idx="3">
                  <c:v>2410000</c:v>
                </c:pt>
                <c:pt idx="4">
                  <c:v>1910000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086592"/>
        <c:axId val="133764992"/>
      </c:barChart>
      <c:catAx>
        <c:axId val="133086592"/>
        <c:scaling>
          <c:orientation val="minMax"/>
        </c:scaling>
        <c:delete val="0"/>
        <c:axPos val="b"/>
        <c:majorTickMark val="out"/>
        <c:minorTickMark val="none"/>
        <c:tickLblPos val="nextTo"/>
        <c:crossAx val="133764992"/>
        <c:crosses val="autoZero"/>
        <c:auto val="1"/>
        <c:lblAlgn val="ctr"/>
        <c:lblOffset val="100"/>
        <c:noMultiLvlLbl val="0"/>
      </c:catAx>
      <c:valAx>
        <c:axId val="1337649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30865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[AMR_Mortality_Burden_by_Region.xlsx]AMR Mortality Analysis!PivotTable1</c:name>
    <c:fmtId val="13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'AMR Mortality Analysis'!$B$3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'AMR Mortality Analysis'!$A$4:$A$11</c:f>
              <c:strCache>
                <c:ptCount val="7"/>
                <c:pt idx="0">
                  <c:v>Africa</c:v>
                </c:pt>
                <c:pt idx="1">
                  <c:v>Australasia</c:v>
                </c:pt>
                <c:pt idx="2">
                  <c:v>Europe</c:v>
                </c:pt>
                <c:pt idx="3">
                  <c:v>Global</c:v>
                </c:pt>
                <c:pt idx="4">
                  <c:v>Global (projected)</c:v>
                </c:pt>
                <c:pt idx="5">
                  <c:v>High-Income Countries</c:v>
                </c:pt>
                <c:pt idx="6">
                  <c:v>South Asia*</c:v>
                </c:pt>
              </c:strCache>
            </c:strRef>
          </c:cat>
          <c:val>
            <c:numRef>
              <c:f>'AMR Mortality Analysis'!$B$4:$B$11</c:f>
              <c:numCache>
                <c:formatCode>General</c:formatCode>
                <c:ptCount val="7"/>
                <c:pt idx="0">
                  <c:v>250000</c:v>
                </c:pt>
                <c:pt idx="2">
                  <c:v>133000</c:v>
                </c:pt>
                <c:pt idx="3">
                  <c:v>2410000</c:v>
                </c:pt>
                <c:pt idx="4">
                  <c:v>1910000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466880"/>
        <c:axId val="167468416"/>
      </c:barChart>
      <c:catAx>
        <c:axId val="167466880"/>
        <c:scaling>
          <c:orientation val="minMax"/>
        </c:scaling>
        <c:delete val="0"/>
        <c:axPos val="b"/>
        <c:majorTickMark val="out"/>
        <c:minorTickMark val="none"/>
        <c:tickLblPos val="nextTo"/>
        <c:crossAx val="167468416"/>
        <c:crosses val="autoZero"/>
        <c:auto val="1"/>
        <c:lblAlgn val="ctr"/>
        <c:lblOffset val="100"/>
        <c:noMultiLvlLbl val="0"/>
      </c:catAx>
      <c:valAx>
        <c:axId val="167468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74668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1362075</xdr:colOff>
      <xdr:row>3</xdr:row>
      <xdr:rowOff>63500</xdr:rowOff>
    </xdr:from>
    <xdr:to>
      <xdr:col>8</xdr:col>
      <xdr:colOff>276225</xdr:colOff>
      <xdr:row>18</xdr:row>
      <xdr:rowOff>44450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1</xdr:row>
      <xdr:rowOff>82550</xdr:rowOff>
    </xdr:from>
    <xdr:to>
      <xdr:col>11</xdr:col>
      <xdr:colOff>152400</xdr:colOff>
      <xdr:row>16</xdr:row>
      <xdr:rowOff>63500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260350</xdr:colOff>
      <xdr:row>2</xdr:row>
      <xdr:rowOff>0</xdr:rowOff>
    </xdr:from>
    <xdr:to>
      <xdr:col>9</xdr:col>
      <xdr:colOff>565150</xdr:colOff>
      <xdr:row>16</xdr:row>
      <xdr:rowOff>165100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23.034792129627" createdVersion="4" refreshedVersion="4" minRefreshableVersion="3" recordCount="8">
  <cacheSource type="worksheet">
    <worksheetSource ref="A1:O9" sheet="Raw data"/>
  </cacheSource>
  <cacheFields count="15">
    <cacheField name="year" numFmtId="0">
      <sharedItems containsSemiMixedTypes="0" containsString="0" containsNumber="1" containsInteger="1" minValue="2019" maxValue="2050"/>
    </cacheField>
    <cacheField name="who_region" numFmtId="0">
      <sharedItems/>
    </cacheField>
    <cacheField name="who_region_name" numFmtId="0">
      <sharedItems count="7">
        <s v="Global"/>
        <s v="Africa"/>
        <s v="Europe"/>
        <s v="South Asia*"/>
        <s v="High-Income Countries"/>
        <s v="Australasia"/>
        <s v="Global (projected)"/>
      </sharedItems>
    </cacheField>
    <cacheField name="amr_attributable_deaths" numFmtId="0">
      <sharedItems containsString="0" containsBlank="1" containsNumber="1" containsInteger="1" minValue="133000" maxValue="1910000"/>
    </cacheField>
    <cacheField name="amr_attributable_deaths_lower_ci" numFmtId="0">
      <sharedItems containsString="0" containsBlank="1" containsNumber="1" containsInteger="1" minValue="90100" maxValue="1090000"/>
    </cacheField>
    <cacheField name="amr_attributable_deaths_upper_ci" numFmtId="0">
      <sharedItems containsString="0" containsBlank="1" containsNumber="1" containsInteger="1" minValue="188000" maxValue="1470000"/>
    </cacheField>
    <cacheField name="amr_associated_deaths" numFmtId="0">
      <sharedItems containsString="0" containsBlank="1" containsNumber="1" containsInteger="1" minValue="541000" maxValue="8220000"/>
    </cacheField>
    <cacheField name="amr_associated_deaths_lower_ci" numFmtId="0">
      <sharedItems containsString="0" containsBlank="1" containsNumber="1" containsInteger="1" minValue="370000" maxValue="3620000"/>
    </cacheField>
    <cacheField name="amr_associated_deaths_upper_ci" numFmtId="0">
      <sharedItems containsString="0" containsBlank="1" containsNumber="1" containsInteger="1" minValue="763000" maxValue="6570000"/>
    </cacheField>
    <cacheField name="amr_attributable_rate_per_100k" numFmtId="0">
      <sharedItems containsString="0" containsBlank="1" containsNumber="1" minValue="6.5" maxValue="27.3"/>
    </cacheField>
    <cacheField name="amr_associated_rate_per_100k" numFmtId="0">
      <sharedItems containsString="0" containsBlank="1" containsNumber="1" minValue="28" maxValue="98.9"/>
    </cacheField>
    <cacheField name="leading_pathogen_drug_combo" numFmtId="0">
      <sharedItems/>
    </cacheField>
    <cacheField name="data_quality_flag" numFmtId="0">
      <sharedItems/>
    </cacheField>
    <cacheField name="primary_source" numFmtId="0">
      <sharedItems/>
    </cacheField>
    <cacheField name="source_doi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n v="2019"/>
    <s v="GLO"/>
    <x v="0"/>
    <n v="1270000"/>
    <n v="1090000"/>
    <n v="1470000"/>
    <n v="4950000"/>
    <n v="3620000"/>
    <n v="6570000"/>
    <n v="16.100000000000001"/>
    <n v="62.8"/>
    <s v="MRSA (130,000+); 3GC-resistant E.coli; carbapenem-resistant A.baumannii"/>
    <s v="Very High â€“ GRAM Project Lancet 2022, 204 countries, 471M records"/>
    <s v="Murray et al., The Lancet 2022;399(10325):629-655"/>
    <s v="10.1016/S0140-6736(21)02724-0"/>
  </r>
  <r>
    <n v="2021"/>
    <s v="GLO"/>
    <x v="0"/>
    <n v="1140000"/>
    <m/>
    <m/>
    <n v="4710000"/>
    <m/>
    <m/>
    <n v="14.4"/>
    <n v="59.5"/>
    <s v="MRSA (130,000 deaths, doubled from 1990); carbapenem-resistant A.baumannii"/>
    <s v="Very High â€“ GRAM Project Lancet 2024 (1990-2021 + 2050 forecasts)"/>
    <s v="GRAM Lancet 2024; Murray et al. Lancet"/>
    <s v="10.1016/S0140-6736(24)01867-1"/>
  </r>
  <r>
    <n v="2019"/>
    <s v="AFR"/>
    <x v="1"/>
    <n v="250000"/>
    <n v="192000"/>
    <n v="325000"/>
    <n v="1050000"/>
    <n v="829000"/>
    <n v="1316000"/>
    <n v="27.3"/>
    <n v="98.9"/>
    <s v="S.pneumoniae; K.pneumoniae; E.coli; S.aureus (each &gt;100K associated deaths)"/>
    <s v="Very High â€“ GRAM Africa sub-study, Lancet 2024"/>
    <s v="GRAM Africa Lancet 2024"/>
    <s v="10.1016/S0140-6736(24)01867-1"/>
  </r>
  <r>
    <n v="2019"/>
    <s v="EUR"/>
    <x v="2"/>
    <n v="133000"/>
    <n v="90100"/>
    <n v="188000"/>
    <n v="541000"/>
    <n v="370000"/>
    <n v="763000"/>
    <n v="13"/>
    <n v="55.7"/>
    <s v="E.coli; S.aureus; K.pneumoniae; P.aeruginosa; E.faecium"/>
    <s v="Very High â€“ GRAM European region sub-study, 53 countries"/>
    <s v="Cassini et al., Lancet Infect Dis 2022; GRAM Europe PMC9630253"/>
    <s v="PMC9630253"/>
  </r>
  <r>
    <n v="2019"/>
    <s v="SEAR"/>
    <x v="3"/>
    <m/>
    <m/>
    <m/>
    <m/>
    <m/>
    <m/>
    <n v="21.5"/>
    <n v="76.8"/>
    <s v="MDR-TB; 3GC-resistant Enterobacterales; MRSA"/>
    <s v="High â€“ GRAM 2022 regional death rate per 100K; South Asia = India+Pakistan+Bangladesh+Nepal+Bhutan"/>
    <s v="Murray et al., The Lancet 2022;399(10325):629-655"/>
    <s v="10.1016/S0140-6736(21)02724-0"/>
  </r>
  <r>
    <n v="2019"/>
    <s v="HIC"/>
    <x v="4"/>
    <m/>
    <m/>
    <m/>
    <m/>
    <m/>
    <m/>
    <n v="13"/>
    <n v="55.7"/>
    <s v="E.coli; MRSA; K.pneumoniae"/>
    <s v="High â€“ GRAM 2022 HIC rate per 100K"/>
    <s v="Murray et al., The Lancet 2022;399(10325):629-655"/>
    <s v="10.1016/S0140-6736(21)02724-0"/>
  </r>
  <r>
    <n v="2019"/>
    <s v="AUS"/>
    <x v="5"/>
    <m/>
    <m/>
    <m/>
    <m/>
    <m/>
    <m/>
    <n v="6.5"/>
    <n v="28"/>
    <s v="E.coli; MRSA"/>
    <s v="High â€“ GRAM 2022 lowest regional burden"/>
    <s v="Murray et al., The Lancet 2022;399(10325):629-655"/>
    <s v="10.1016/S0140-6736(21)02724-0"/>
  </r>
  <r>
    <n v="2050"/>
    <s v="GLO"/>
    <x v="6"/>
    <n v="1910000"/>
    <m/>
    <m/>
    <n v="8220000"/>
    <m/>
    <m/>
    <m/>
    <m/>
    <s v="MRSA; carbapenem-resistant Enterobacterales; MDR-TB"/>
    <s v="High â€“ GRAM Lancet 2024 projection; 67.5% increase from 2021"/>
    <s v="GRAM Lancet 2024 forecasts to 2050"/>
    <s v="10.1016/S0140-6736(24)01867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4">
  <location ref="A3:B11" firstHeaderRow="1" firstDataRow="1" firstDataCol="1"/>
  <pivotFields count="15">
    <pivotField showAll="0"/>
    <pivotField showAll="0"/>
    <pivotField axis="axisRow" showAll="0">
      <items count="8">
        <item x="1"/>
        <item x="5"/>
        <item x="2"/>
        <item x="0"/>
        <item x="6"/>
        <item x="4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mr_attributable_deaths" fld="3" baseField="2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F2" sqref="F2"/>
    </sheetView>
  </sheetViews>
  <sheetFormatPr defaultRowHeight="14.5" x14ac:dyDescent="0.35"/>
  <cols>
    <col min="1" max="1" width="20" bestFit="1" customWidth="1"/>
    <col min="2" max="2" width="28.6328125" customWidth="1"/>
  </cols>
  <sheetData>
    <row r="3" spans="1:2" x14ac:dyDescent="0.35">
      <c r="A3" s="1" t="s">
        <v>52</v>
      </c>
      <c r="B3" t="s">
        <v>54</v>
      </c>
    </row>
    <row r="4" spans="1:2" x14ac:dyDescent="0.35">
      <c r="A4" s="2" t="s">
        <v>26</v>
      </c>
      <c r="B4" s="3">
        <v>250000</v>
      </c>
    </row>
    <row r="5" spans="1:2" x14ac:dyDescent="0.35">
      <c r="A5" s="2" t="s">
        <v>45</v>
      </c>
      <c r="B5" s="3"/>
    </row>
    <row r="6" spans="1:2" x14ac:dyDescent="0.35">
      <c r="A6" s="2" t="s">
        <v>31</v>
      </c>
      <c r="B6" s="3">
        <v>133000</v>
      </c>
    </row>
    <row r="7" spans="1:2" x14ac:dyDescent="0.35">
      <c r="A7" s="2" t="s">
        <v>16</v>
      </c>
      <c r="B7" s="3">
        <v>2410000</v>
      </c>
    </row>
    <row r="8" spans="1:2" x14ac:dyDescent="0.35">
      <c r="A8" s="2" t="s">
        <v>48</v>
      </c>
      <c r="B8" s="3">
        <v>1910000</v>
      </c>
    </row>
    <row r="9" spans="1:2" x14ac:dyDescent="0.35">
      <c r="A9" s="2" t="s">
        <v>41</v>
      </c>
      <c r="B9" s="3"/>
    </row>
    <row r="10" spans="1:2" x14ac:dyDescent="0.35">
      <c r="A10" s="2" t="s">
        <v>37</v>
      </c>
      <c r="B10" s="3"/>
    </row>
    <row r="11" spans="1:2" x14ac:dyDescent="0.35">
      <c r="A11" s="2" t="s">
        <v>53</v>
      </c>
      <c r="B11" s="3">
        <v>4703000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7" sqref="E7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selection activeCell="F11" sqref="F11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2019</v>
      </c>
      <c r="B2" t="s">
        <v>15</v>
      </c>
      <c r="C2" t="s">
        <v>16</v>
      </c>
      <c r="D2">
        <v>1270000</v>
      </c>
      <c r="E2">
        <v>1090000</v>
      </c>
      <c r="F2">
        <v>1470000</v>
      </c>
      <c r="G2">
        <v>4950000</v>
      </c>
      <c r="H2">
        <v>3620000</v>
      </c>
      <c r="I2">
        <v>6570000</v>
      </c>
      <c r="J2">
        <v>16.100000000000001</v>
      </c>
      <c r="K2">
        <v>62.8</v>
      </c>
      <c r="L2" t="s">
        <v>17</v>
      </c>
      <c r="M2" t="s">
        <v>18</v>
      </c>
      <c r="N2" t="s">
        <v>19</v>
      </c>
      <c r="O2" t="s">
        <v>20</v>
      </c>
    </row>
    <row r="3" spans="1:15" x14ac:dyDescent="0.35">
      <c r="A3">
        <v>2021</v>
      </c>
      <c r="B3" t="s">
        <v>15</v>
      </c>
      <c r="C3" t="s">
        <v>16</v>
      </c>
      <c r="D3">
        <v>1140000</v>
      </c>
      <c r="G3">
        <v>4710000</v>
      </c>
      <c r="J3">
        <v>14.4</v>
      </c>
      <c r="K3">
        <v>59.5</v>
      </c>
      <c r="L3" t="s">
        <v>21</v>
      </c>
      <c r="M3" t="s">
        <v>22</v>
      </c>
      <c r="N3" t="s">
        <v>23</v>
      </c>
      <c r="O3" t="s">
        <v>24</v>
      </c>
    </row>
    <row r="4" spans="1:15" x14ac:dyDescent="0.35">
      <c r="A4">
        <v>2019</v>
      </c>
      <c r="B4" t="s">
        <v>25</v>
      </c>
      <c r="C4" t="s">
        <v>26</v>
      </c>
      <c r="D4">
        <v>250000</v>
      </c>
      <c r="E4">
        <v>192000</v>
      </c>
      <c r="F4">
        <v>325000</v>
      </c>
      <c r="G4">
        <v>1050000</v>
      </c>
      <c r="H4">
        <v>829000</v>
      </c>
      <c r="I4">
        <v>1316000</v>
      </c>
      <c r="J4">
        <v>27.3</v>
      </c>
      <c r="K4">
        <v>98.9</v>
      </c>
      <c r="L4" t="s">
        <v>27</v>
      </c>
      <c r="M4" t="s">
        <v>28</v>
      </c>
      <c r="N4" t="s">
        <v>29</v>
      </c>
      <c r="O4" t="s">
        <v>24</v>
      </c>
    </row>
    <row r="5" spans="1:15" x14ac:dyDescent="0.35">
      <c r="A5">
        <v>2019</v>
      </c>
      <c r="B5" t="s">
        <v>30</v>
      </c>
      <c r="C5" t="s">
        <v>31</v>
      </c>
      <c r="D5">
        <v>133000</v>
      </c>
      <c r="E5">
        <v>90100</v>
      </c>
      <c r="F5">
        <v>188000</v>
      </c>
      <c r="G5">
        <v>541000</v>
      </c>
      <c r="H5">
        <v>370000</v>
      </c>
      <c r="I5">
        <v>763000</v>
      </c>
      <c r="J5">
        <v>13</v>
      </c>
      <c r="K5">
        <v>55.7</v>
      </c>
      <c r="L5" t="s">
        <v>32</v>
      </c>
      <c r="M5" t="s">
        <v>33</v>
      </c>
      <c r="N5" t="s">
        <v>34</v>
      </c>
      <c r="O5" t="s">
        <v>35</v>
      </c>
    </row>
    <row r="6" spans="1:15" x14ac:dyDescent="0.35">
      <c r="A6">
        <v>2019</v>
      </c>
      <c r="B6" t="s">
        <v>36</v>
      </c>
      <c r="C6" t="s">
        <v>37</v>
      </c>
      <c r="J6">
        <v>21.5</v>
      </c>
      <c r="K6">
        <v>76.8</v>
      </c>
      <c r="L6" t="s">
        <v>38</v>
      </c>
      <c r="M6" t="s">
        <v>39</v>
      </c>
      <c r="N6" t="s">
        <v>19</v>
      </c>
      <c r="O6" t="s">
        <v>20</v>
      </c>
    </row>
    <row r="7" spans="1:15" x14ac:dyDescent="0.35">
      <c r="A7">
        <v>2019</v>
      </c>
      <c r="B7" t="s">
        <v>40</v>
      </c>
      <c r="C7" t="s">
        <v>41</v>
      </c>
      <c r="J7">
        <v>13</v>
      </c>
      <c r="K7">
        <v>55.7</v>
      </c>
      <c r="L7" t="s">
        <v>42</v>
      </c>
      <c r="M7" t="s">
        <v>43</v>
      </c>
      <c r="N7" t="s">
        <v>19</v>
      </c>
      <c r="O7" t="s">
        <v>20</v>
      </c>
    </row>
    <row r="8" spans="1:15" x14ac:dyDescent="0.35">
      <c r="A8">
        <v>2019</v>
      </c>
      <c r="B8" t="s">
        <v>44</v>
      </c>
      <c r="C8" t="s">
        <v>45</v>
      </c>
      <c r="J8">
        <v>6.5</v>
      </c>
      <c r="K8">
        <v>28</v>
      </c>
      <c r="L8" t="s">
        <v>46</v>
      </c>
      <c r="M8" t="s">
        <v>47</v>
      </c>
      <c r="N8" t="s">
        <v>19</v>
      </c>
      <c r="O8" t="s">
        <v>20</v>
      </c>
    </row>
    <row r="9" spans="1:15" x14ac:dyDescent="0.35">
      <c r="A9">
        <v>2050</v>
      </c>
      <c r="B9" t="s">
        <v>15</v>
      </c>
      <c r="C9" t="s">
        <v>48</v>
      </c>
      <c r="D9">
        <v>1910000</v>
      </c>
      <c r="G9">
        <v>8220000</v>
      </c>
      <c r="L9" t="s">
        <v>49</v>
      </c>
      <c r="M9" t="s">
        <v>50</v>
      </c>
      <c r="N9" t="s">
        <v>51</v>
      </c>
      <c r="O9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AMR Mortality Analysis</vt:lpstr>
      <vt:lpstr>AMR Dashboard</vt:lpstr>
      <vt:lpstr>Raw data</vt:lpstr>
      <vt:lpstr>AMR Mortality 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2026-07-20T00:04:02Z</dcterms:created>
  <dcterms:modified xsi:type="dcterms:W3CDTF">2026-07-20T00:33:10Z</dcterms:modified>
</cp:coreProperties>
</file>