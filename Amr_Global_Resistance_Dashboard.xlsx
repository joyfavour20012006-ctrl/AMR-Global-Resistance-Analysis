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0" windowWidth="19140" windowHeight="6340"/>
  </bookViews>
  <sheets>
    <sheet name="AMR Dashboard" sheetId="2" r:id="rId1"/>
    <sheet name="AMR Regional Analysis" sheetId="3" r:id="rId2"/>
    <sheet name="Raw Data" sheetId="1" r:id="rId3"/>
  </sheets>
  <calcPr calcId="0"/>
  <pivotCaches>
    <pivotCache cacheId="1" r:id="rId4"/>
  </pivotCaches>
</workbook>
</file>

<file path=xl/sharedStrings.xml><?xml version="1.0" encoding="utf-8"?>
<sst xmlns="http://schemas.openxmlformats.org/spreadsheetml/2006/main" count="568" uniqueCount="112">
  <si>
    <t>year</t>
  </si>
  <si>
    <t>who_region</t>
  </si>
  <si>
    <t>who_region_name</t>
  </si>
  <si>
    <t>pathogen</t>
  </si>
  <si>
    <t>infection_type</t>
  </si>
  <si>
    <t>antibiotic_class</t>
  </si>
  <si>
    <t>key_antibiotic</t>
  </si>
  <si>
    <t>resistance_pct</t>
  </si>
  <si>
    <t>resistance_pct_lower_ci</t>
  </si>
  <si>
    <t>resistance_pct_upper_ci</t>
  </si>
  <si>
    <t>trend_2018_2023_annual_pct_change</t>
  </si>
  <si>
    <t>trend_significant</t>
  </si>
  <si>
    <t>countries_reporting</t>
  </si>
  <si>
    <t>data_quality_flag</t>
  </si>
  <si>
    <t>primary_source</t>
  </si>
  <si>
    <t>source_doi</t>
  </si>
  <si>
    <t>GLO</t>
  </si>
  <si>
    <t>Global</t>
  </si>
  <si>
    <t>Escherichia coli</t>
  </si>
  <si>
    <t>Bloodstream infection (BSI)</t>
  </si>
  <si>
    <t>3rd-generation cephalosporins</t>
  </si>
  <si>
    <t>Ceftriaxone/Cefotaxime</t>
  </si>
  <si>
    <t>High â€“ WHO GLASS 2025 adjusted global estimate</t>
  </si>
  <si>
    <t>WHO Global Antibiotic Resistance Surveillance Report 2025</t>
  </si>
  <si>
    <t>WHO/2025/GLASS</t>
  </si>
  <si>
    <t>Klebsiella pneumoniae</t>
  </si>
  <si>
    <t>Cefotaxime</t>
  </si>
  <si>
    <t>Acinetobacter spp.</t>
  </si>
  <si>
    <t>Carbapenems</t>
  </si>
  <si>
    <t>Imipenem</t>
  </si>
  <si>
    <t>Staphylococcus aureus (MRSA)</t>
  </si>
  <si>
    <t>Methicillin/Beta-lactams</t>
  </si>
  <si>
    <t>Oxacillin/Cefoxitin</t>
  </si>
  <si>
    <t>High â€“ WHO GLASS 2025 adjusted global estimate (~27%)</t>
  </si>
  <si>
    <t>High â€“ WHO GLASS 2025</t>
  </si>
  <si>
    <t>Urinary tract infection (UTI)</t>
  </si>
  <si>
    <t>Ceftriaxone</t>
  </si>
  <si>
    <t>High â€“ 1 in 3 UTIs resistant (WHO GLASS 2025)</t>
  </si>
  <si>
    <t>Fluoroquinolones</t>
  </si>
  <si>
    <t>Ciprofloxacin</t>
  </si>
  <si>
    <t>High â€“ &gt;40% global (WHO GLASS 2025 summary)</t>
  </si>
  <si>
    <t>Salmonella spp. (non-typhoidal)</t>
  </si>
  <si>
    <t>Gastrointestinal infection</t>
  </si>
  <si>
    <t>Medium â€“ GLASS 2025 gastrointestinal estimates</t>
  </si>
  <si>
    <t>Shigella spp.</t>
  </si>
  <si>
    <t>Medium â€“ GLASS 2025</t>
  </si>
  <si>
    <t>Neisseria gonorrhoeae</t>
  </si>
  <si>
    <t>Urogenital gonorrhoea</t>
  </si>
  <si>
    <t>Extended-spectrum cephalosporins</t>
  </si>
  <si>
    <t>High â€“ GLASS 2025; low resistance &lt;1% globally</t>
  </si>
  <si>
    <t>High â€“ GLASS 2025; 75% global resistance to ciprofloxacin</t>
  </si>
  <si>
    <t>Macrolides</t>
  </si>
  <si>
    <t>Azithromycin</t>
  </si>
  <si>
    <t>High â€“ GLASS 2025</t>
  </si>
  <si>
    <t>Streptococcus pneumoniae</t>
  </si>
  <si>
    <t>Lower respiratory / pneumonia</t>
  </si>
  <si>
    <t>Penicillins</t>
  </si>
  <si>
    <t>Penicillin G</t>
  </si>
  <si>
    <t>Medium â€“ GLASS 2025 global estimate</t>
  </si>
  <si>
    <t>AFR</t>
  </si>
  <si>
    <t>Africa</t>
  </si>
  <si>
    <t>High â€“ Africa &gt;70% (WHO GLASS 2025 + CIDRAP summary)</t>
  </si>
  <si>
    <t>High â€“ Africa &gt;70% both pathogens (WHO GLASS 2025)</t>
  </si>
  <si>
    <t>Medium â€“ extrapolated from GRAM Africa 2019 + GLASS 2025 trend</t>
  </si>
  <si>
    <t>GRAM Africa Lancet 2024; WHO GLASS 2025</t>
  </si>
  <si>
    <t>10.1016/S0140-6736(24)01867-1</t>
  </si>
  <si>
    <t>Oxacillin</t>
  </si>
  <si>
    <t>Medium â€“ GLASS 2025; MRSA &gt;40% Middle East/Africa stated</t>
  </si>
  <si>
    <t>All pathogens (median)</t>
  </si>
  <si>
    <t>All infection types</t>
  </si>
  <si>
    <t>All antibiotics</t>
  </si>
  <si>
    <t>Median across combinations</t>
  </si>
  <si>
    <t>High â€“ 1 in 5 infections resistant in Africa (WHO GLASS 2025)</t>
  </si>
  <si>
    <t>EMR</t>
  </si>
  <si>
    <t>Eastern Mediterranean</t>
  </si>
  <si>
    <t>High â€“ 1 in 3 (30%) EMR; tied highest with SEAR (AJMC/GLASS 2025)</t>
  </si>
  <si>
    <t>Medium â€“ Iran/Egypt &gt;85% cited in pharmacally.com GLASS 2025 summary</t>
  </si>
  <si>
    <t>High â€“ 60.4% (51.8â€“68.4) EMR from GLASS 2025 summary PDF</t>
  </si>
  <si>
    <t>WHO Global Antibiotic Resistance Surveillance Report 2025 Summary PDF</t>
  </si>
  <si>
    <t>EUR</t>
  </si>
  <si>
    <t>Europe</t>
  </si>
  <si>
    <t>High â€“ 1 in 10 Europe (AJMC/GLASS 2025)</t>
  </si>
  <si>
    <t>High â€“ EARS-Net 2024; EU/EEA significantly lower than global</t>
  </si>
  <si>
    <t>ECDC EARS-Net 2024 AMR Surveillance Report</t>
  </si>
  <si>
    <t>ECDC/2024/EARS-Net</t>
  </si>
  <si>
    <t>Meropenem</t>
  </si>
  <si>
    <t>High â€“ EARS-Net 2024 EU/EEA average</t>
  </si>
  <si>
    <t>SEAR</t>
  </si>
  <si>
    <t>South-East Asia</t>
  </si>
  <si>
    <t>High â€“ 31.1% SEAR, highest globally (AJMC/GLASS 2025)</t>
  </si>
  <si>
    <t>Medium â€“ &gt;60% in Asian regions (Pharmacally GLASS 2025 summary)</t>
  </si>
  <si>
    <t>Medium â€“ GLASS 2025 SEAR estimate</t>
  </si>
  <si>
    <t>AMR_region</t>
  </si>
  <si>
    <t>Americas</t>
  </si>
  <si>
    <t>Medium â€“ lowest GLASS participation; 20% of members reporting (AJMC 2025)</t>
  </si>
  <si>
    <t>Medium â€“ PAHO ReLAVRA+ data combined with GLASS estimates</t>
  </si>
  <si>
    <t>WPR</t>
  </si>
  <si>
    <t>Western Pacific</t>
  </si>
  <si>
    <t>High â€“ 1 in 11 WPR; lowest resistance regionally (AJMC/GLASS 2025)</t>
  </si>
  <si>
    <t>High â€“ WPR highest gonorrhoea burden, 52% of global cases (WHO Nov 2025)</t>
  </si>
  <si>
    <t>WHO gonorrhoea AMR surveillance Nov 2025</t>
  </si>
  <si>
    <t>WHO/2025/gonorrhoea</t>
  </si>
  <si>
    <t>1.3% annual increase (2018-2023 GLASS 2025)</t>
  </si>
  <si>
    <t>High â€“ GLASS annual reports</t>
  </si>
  <si>
    <t>WHO GLASS Reports 2016-2025</t>
  </si>
  <si>
    <t>WHO/GLASS/annual</t>
  </si>
  <si>
    <t>-2.5% annual (statistically significant decrease, GLASS 2025)</t>
  </si>
  <si>
    <t>+5.3% annual (statistically significant increase, GLASS 2025)</t>
  </si>
  <si>
    <t>Row Labels</t>
  </si>
  <si>
    <t>Grand Total</t>
  </si>
  <si>
    <t>Sum of resistance_pct</t>
  </si>
  <si>
    <t>Average of resistance_pct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</si>
</sst>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[Amr_Global_Resistance_Dashboard.xlsx]AMR Dashboard!PivotTable1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600"/>
              <a:t>Global</a:t>
            </a:r>
            <a:r>
              <a:rPr lang="en-US" sz="1600" baseline="0"/>
              <a:t> Antimicrobial Resistance Trend(2016-2023)</a:t>
            </a:r>
            <a:endParaRPr lang="en-US" sz="1600"/>
          </a:p>
        </c:rich>
      </c:tx>
      <c:layout>
        <c:manualLayout>
          <c:xMode val="edge"/>
          <c:yMode val="edge"/>
          <c:x val="0.16906255468066492"/>
          <c:y val="0.13221784776902887"/>
        </c:manualLayout>
      </c:layout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'AMR Dashboard'!$B$3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'AMR Dashboard'!$A$4:$A$12</c:f>
              <c:strCach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strCache>
            </c:strRef>
          </c:cat>
          <c:val>
            <c:numRef>
              <c:f>'AMR Dashboard'!$B$4:$B$12</c:f>
              <c:numCache>
                <c:formatCode>General</c:formatCode>
                <c:ptCount val="8"/>
                <c:pt idx="0">
                  <c:v>111</c:v>
                </c:pt>
                <c:pt idx="1">
                  <c:v>114.5</c:v>
                </c:pt>
                <c:pt idx="2">
                  <c:v>116</c:v>
                </c:pt>
                <c:pt idx="3">
                  <c:v>118.2</c:v>
                </c:pt>
                <c:pt idx="4">
                  <c:v>119.3</c:v>
                </c:pt>
                <c:pt idx="5">
                  <c:v>121.8</c:v>
                </c:pt>
                <c:pt idx="6">
                  <c:v>123.8</c:v>
                </c:pt>
                <c:pt idx="7">
                  <c:v>551.80000000000007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017664"/>
        <c:axId val="146633856"/>
      </c:lineChart>
      <c:catAx>
        <c:axId val="210017664"/>
        <c:scaling>
          <c:orientation val="minMax"/>
        </c:scaling>
        <c:delete val="0"/>
        <c:axPos val="b"/>
        <c:majorTickMark val="out"/>
        <c:minorTickMark val="none"/>
        <c:tickLblPos val="nextTo"/>
        <c:crossAx val="146633856"/>
        <c:crosses val="autoZero"/>
        <c:auto val="1"/>
        <c:lblAlgn val="ctr"/>
        <c:lblOffset val="100"/>
        <c:noMultiLvlLbl val="0"/>
      </c:catAx>
      <c:valAx>
        <c:axId val="1466338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00176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[Amr_Global_Resistance_Dashboard.xlsx]AMR Regional Analysis!PivotTable1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US" sz="1600"/>
              <a:t>Average</a:t>
            </a:r>
            <a:r>
              <a:rPr lang="en-US" sz="1600" baseline="0"/>
              <a:t> Antimicrobial Resistance by WHO Region</a:t>
            </a:r>
            <a:endParaRPr lang="en-US" sz="1600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'AMR Regional Analysis'!$B$3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'AMR Regional Analysis'!$A$4:$A$11</c:f>
              <c:strCache>
                <c:ptCount val="7"/>
                <c:pt idx="0">
                  <c:v>Africa</c:v>
                </c:pt>
                <c:pt idx="1">
                  <c:v>Americas</c:v>
                </c:pt>
                <c:pt idx="2">
                  <c:v>Eastern Mediterranean</c:v>
                </c:pt>
                <c:pt idx="3">
                  <c:v>Europe</c:v>
                </c:pt>
                <c:pt idx="4">
                  <c:v>Global</c:v>
                </c:pt>
                <c:pt idx="5">
                  <c:v>South-East Asia</c:v>
                </c:pt>
                <c:pt idx="6">
                  <c:v>Western Pacific</c:v>
                </c:pt>
              </c:strCache>
            </c:strRef>
          </c:cat>
          <c:val>
            <c:numRef>
              <c:f>'AMR Regional Analysis'!$B$4:$B$11</c:f>
              <c:numCache>
                <c:formatCode>General</c:formatCode>
                <c:ptCount val="7"/>
                <c:pt idx="0">
                  <c:v>53</c:v>
                </c:pt>
                <c:pt idx="1">
                  <c:v>20.5</c:v>
                </c:pt>
                <c:pt idx="2">
                  <c:v>58.466666666666669</c:v>
                </c:pt>
                <c:pt idx="3">
                  <c:v>11.925000000000001</c:v>
                </c:pt>
                <c:pt idx="4">
                  <c:v>36.221052631578942</c:v>
                </c:pt>
                <c:pt idx="5">
                  <c:v>49.699999999999996</c:v>
                </c:pt>
                <c:pt idx="6">
                  <c:v>5.3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045440"/>
        <c:axId val="46313856"/>
      </c:barChart>
      <c:catAx>
        <c:axId val="46045440"/>
        <c:scaling>
          <c:orientation val="minMax"/>
        </c:scaling>
        <c:delete val="0"/>
        <c:axPos val="b"/>
        <c:majorTickMark val="out"/>
        <c:minorTickMark val="none"/>
        <c:tickLblPos val="nextTo"/>
        <c:crossAx val="46313856"/>
        <c:crosses val="autoZero"/>
        <c:auto val="1"/>
        <c:lblAlgn val="ctr"/>
        <c:lblOffset val="100"/>
        <c:noMultiLvlLbl val="0"/>
      </c:catAx>
      <c:valAx>
        <c:axId val="463138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60454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[Amr_Global_Resistance_Dashboard.xlsx]AMR Regional Analysis!PivotTable1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600"/>
              <a:t>Average</a:t>
            </a:r>
            <a:r>
              <a:rPr lang="en-US" sz="1600" baseline="0"/>
              <a:t> Antimicrobial Resistance by WHO Region</a:t>
            </a:r>
            <a:endParaRPr lang="en-US" sz="1600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'AMR Regional Analysis'!$B$3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'AMR Regional Analysis'!$A$4:$A$11</c:f>
              <c:strCache>
                <c:ptCount val="7"/>
                <c:pt idx="0">
                  <c:v>Africa</c:v>
                </c:pt>
                <c:pt idx="1">
                  <c:v>Americas</c:v>
                </c:pt>
                <c:pt idx="2">
                  <c:v>Eastern Mediterranean</c:v>
                </c:pt>
                <c:pt idx="3">
                  <c:v>Europe</c:v>
                </c:pt>
                <c:pt idx="4">
                  <c:v>Global</c:v>
                </c:pt>
                <c:pt idx="5">
                  <c:v>South-East Asia</c:v>
                </c:pt>
                <c:pt idx="6">
                  <c:v>Western Pacific</c:v>
                </c:pt>
              </c:strCache>
            </c:strRef>
          </c:cat>
          <c:val>
            <c:numRef>
              <c:f>'AMR Regional Analysis'!$B$4:$B$11</c:f>
              <c:numCache>
                <c:formatCode>General</c:formatCode>
                <c:ptCount val="7"/>
                <c:pt idx="0">
                  <c:v>53</c:v>
                </c:pt>
                <c:pt idx="1">
                  <c:v>20.5</c:v>
                </c:pt>
                <c:pt idx="2">
                  <c:v>58.466666666666669</c:v>
                </c:pt>
                <c:pt idx="3">
                  <c:v>11.925000000000001</c:v>
                </c:pt>
                <c:pt idx="4">
                  <c:v>36.221052631578942</c:v>
                </c:pt>
                <c:pt idx="5">
                  <c:v>49.699999999999996</c:v>
                </c:pt>
                <c:pt idx="6">
                  <c:v>5.3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3039744"/>
        <c:axId val="233041280"/>
      </c:barChart>
      <c:catAx>
        <c:axId val="233039744"/>
        <c:scaling>
          <c:orientation val="minMax"/>
        </c:scaling>
        <c:delete val="0"/>
        <c:axPos val="b"/>
        <c:majorTickMark val="out"/>
        <c:minorTickMark val="none"/>
        <c:tickLblPos val="nextTo"/>
        <c:crossAx val="233041280"/>
        <c:crosses val="autoZero"/>
        <c:auto val="1"/>
        <c:lblAlgn val="ctr"/>
        <c:lblOffset val="100"/>
        <c:noMultiLvlLbl val="0"/>
      </c:catAx>
      <c:valAx>
        <c:axId val="2330412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30397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327025</xdr:colOff>
      <xdr:row>0</xdr:row>
      <xdr:rowOff>114300</xdr:rowOff>
    </xdr:from>
    <xdr:to>
      <xdr:col>10</xdr:col>
      <xdr:colOff>22225</xdr:colOff>
      <xdr:row>15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171450</xdr:colOff>
      <xdr:row>0</xdr:row>
      <xdr:rowOff>139700</xdr:rowOff>
    </xdr:from>
    <xdr:to>
      <xdr:col>17</xdr:col>
      <xdr:colOff>476250</xdr:colOff>
      <xdr:row>15</xdr:row>
      <xdr:rowOff>120650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358775</xdr:colOff>
      <xdr:row>1</xdr:row>
      <xdr:rowOff>76200</xdr:rowOff>
    </xdr:from>
    <xdr:to>
      <xdr:col>11</xdr:col>
      <xdr:colOff>53975</xdr:colOff>
      <xdr:row>16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222.818193171297" createdVersion="4" refreshedVersion="4" minRefreshableVersion="3" recordCount="57">
  <cacheSource type="worksheet">
    <worksheetSource name="Table1"/>
  </cacheSource>
  <cacheFields count="16">
    <cacheField name="year" numFmtId="0">
      <sharedItems containsSemiMixedTypes="0" containsString="0" containsNumber="1" containsInteger="1" minValue="2016" maxValue="2023" count="8">
        <n v="2023"/>
        <n v="2016"/>
        <n v="2017"/>
        <n v="2018"/>
        <n v="2019"/>
        <n v="2020"/>
        <n v="2021"/>
        <n v="2022"/>
      </sharedItems>
    </cacheField>
    <cacheField name="who_region" numFmtId="0">
      <sharedItems/>
    </cacheField>
    <cacheField name="who_region_name" numFmtId="0">
      <sharedItems count="7">
        <s v="Global"/>
        <s v="Africa"/>
        <s v="Eastern Mediterranean"/>
        <s v="Europe"/>
        <s v="South-East Asia"/>
        <s v="Americas"/>
        <s v="Western Pacific"/>
      </sharedItems>
    </cacheField>
    <cacheField name="pathogen" numFmtId="0">
      <sharedItems/>
    </cacheField>
    <cacheField name="infection_type" numFmtId="0">
      <sharedItems/>
    </cacheField>
    <cacheField name="antibiotic_class" numFmtId="0">
      <sharedItems/>
    </cacheField>
    <cacheField name="key_antibiotic" numFmtId="0">
      <sharedItems/>
    </cacheField>
    <cacheField name="resistance_pct" numFmtId="0">
      <sharedItems containsSemiMixedTypes="0" containsString="0" containsNumber="1" minValue="0.3" maxValue="85"/>
    </cacheField>
    <cacheField name="resistance_pct_lower_ci" numFmtId="0">
      <sharedItems containsString="0" containsBlank="1" containsNumber="1" minValue="48.5" maxValue="51.8"/>
    </cacheField>
    <cacheField name="resistance_pct_upper_ci" numFmtId="0">
      <sharedItems containsString="0" containsBlank="1" containsNumber="1" minValue="61.7" maxValue="68.400000000000006"/>
    </cacheField>
    <cacheField name="trend_2018_2023_annual_pct_change" numFmtId="0">
      <sharedItems containsBlank="1" containsMixedTypes="1" containsNumber="1" minValue="-11" maxValue="5.3"/>
    </cacheField>
    <cacheField name="trend_significant" numFmtId="0">
      <sharedItems containsBlank="1"/>
    </cacheField>
    <cacheField name="countries_reporting" numFmtId="0">
      <sharedItems containsSemiMixedTypes="0" containsString="0" containsNumber="1" containsInteger="1" minValue="20" maxValue="104"/>
    </cacheField>
    <cacheField name="data_quality_flag" numFmtId="0">
      <sharedItems/>
    </cacheField>
    <cacheField name="primary_source" numFmtId="0">
      <sharedItems/>
    </cacheField>
    <cacheField name="source_doi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7">
  <r>
    <x v="0"/>
    <s v="GLO"/>
    <x v="0"/>
    <s v="Escherichia coli"/>
    <s v="Bloodstream infection (BSI)"/>
    <s v="3rd-generation cephalosporins"/>
    <s v="Ceftriaxone/Cefotaxime"/>
    <n v="44.8"/>
    <m/>
    <m/>
    <n v="1.3"/>
    <b v="1"/>
    <n v="104"/>
    <s v="High â€“ WHO GLASS 2025 adjusted global estimate"/>
    <s v="WHO Global Antibiotic Resistance Surveillance Report 2025"/>
    <s v="WHO/2025/GLASS"/>
  </r>
  <r>
    <x v="0"/>
    <s v="GLO"/>
    <x v="0"/>
    <s v="Klebsiella pneumoniae"/>
    <s v="Bloodstream infection (BSI)"/>
    <s v="3rd-generation cephalosporins"/>
    <s v="Cefotaxime"/>
    <n v="55.2"/>
    <n v="48.5"/>
    <n v="61.7"/>
    <m/>
    <m/>
    <n v="104"/>
    <s v="High â€“ WHO GLASS 2025 adjusted global estimate"/>
    <s v="WHO Global Antibiotic Resistance Surveillance Report 2025"/>
    <s v="WHO/2025/GLASS"/>
  </r>
  <r>
    <x v="0"/>
    <s v="GLO"/>
    <x v="0"/>
    <s v="Acinetobacter spp."/>
    <s v="Bloodstream infection (BSI)"/>
    <s v="Carbapenems"/>
    <s v="Imipenem"/>
    <n v="54.3"/>
    <m/>
    <m/>
    <n v="5.3"/>
    <b v="1"/>
    <n v="104"/>
    <s v="High â€“ WHO GLASS 2025 adjusted global estimate"/>
    <s v="WHO Global Antibiotic Resistance Surveillance Report 2025"/>
    <s v="WHO/2025/GLASS"/>
  </r>
  <r>
    <x v="0"/>
    <s v="GLO"/>
    <x v="0"/>
    <s v="Staphylococcus aureus (MRSA)"/>
    <s v="Bloodstream infection (BSI)"/>
    <s v="Methicillin/Beta-lactams"/>
    <s v="Oxacillin/Cefoxitin"/>
    <n v="27"/>
    <m/>
    <m/>
    <n v="-2.5"/>
    <b v="1"/>
    <n v="104"/>
    <s v="High â€“ WHO GLASS 2025 adjusted global estimate (~27%)"/>
    <s v="WHO Global Antibiotic Resistance Surveillance Report 2025"/>
    <s v="WHO/2025/GLASS"/>
  </r>
  <r>
    <x v="0"/>
    <s v="GLO"/>
    <x v="0"/>
    <s v="Escherichia coli"/>
    <s v="Bloodstream infection (BSI)"/>
    <s v="Carbapenems"/>
    <s v="Imipenem"/>
    <n v="3.5"/>
    <m/>
    <m/>
    <m/>
    <m/>
    <n v="104"/>
    <s v="High â€“ WHO GLASS 2025"/>
    <s v="WHO Global Antibiotic Resistance Surveillance Report 2025"/>
    <s v="WHO/2025/GLASS"/>
  </r>
  <r>
    <x v="0"/>
    <s v="GLO"/>
    <x v="0"/>
    <s v="Klebsiella pneumoniae"/>
    <s v="Bloodstream infection (BSI)"/>
    <s v="Carbapenems"/>
    <s v="Imipenem"/>
    <n v="15"/>
    <m/>
    <m/>
    <m/>
    <m/>
    <n v="104"/>
    <s v="High â€“ WHO GLASS 2025"/>
    <s v="WHO Global Antibiotic Resistance Surveillance Report 2025"/>
    <s v="WHO/2025/GLASS"/>
  </r>
  <r>
    <x v="0"/>
    <s v="GLO"/>
    <x v="0"/>
    <s v="Escherichia coli"/>
    <s v="Urinary tract infection (UTI)"/>
    <s v="3rd-generation cephalosporins"/>
    <s v="Ceftriaxone"/>
    <n v="33"/>
    <m/>
    <m/>
    <m/>
    <m/>
    <n v="104"/>
    <s v="High â€“ 1 in 3 UTIs resistant (WHO GLASS 2025)"/>
    <s v="WHO Global Antibiotic Resistance Surveillance Report 2025"/>
    <s v="WHO/2025/GLASS"/>
  </r>
  <r>
    <x v="0"/>
    <s v="GLO"/>
    <x v="0"/>
    <s v="Escherichia coli"/>
    <s v="Urinary tract infection (UTI)"/>
    <s v="Fluoroquinolones"/>
    <s v="Ciprofloxacin"/>
    <n v="40"/>
    <m/>
    <m/>
    <m/>
    <m/>
    <n v="104"/>
    <s v="High â€“ &gt;40% global (WHO GLASS 2025 summary)"/>
    <s v="WHO Global Antibiotic Resistance Surveillance Report 2025"/>
    <s v="WHO/2025/GLASS"/>
  </r>
  <r>
    <x v="0"/>
    <s v="GLO"/>
    <x v="0"/>
    <s v="Salmonella spp. (non-typhoidal)"/>
    <s v="Gastrointestinal infection"/>
    <s v="Fluoroquinolones"/>
    <s v="Ciprofloxacin"/>
    <n v="20"/>
    <m/>
    <m/>
    <m/>
    <m/>
    <n v="104"/>
    <s v="Medium â€“ GLASS 2025 gastrointestinal estimates"/>
    <s v="WHO Global Antibiotic Resistance Surveillance Report 2025"/>
    <s v="WHO/2025/GLASS"/>
  </r>
  <r>
    <x v="0"/>
    <s v="GLO"/>
    <x v="0"/>
    <s v="Shigella spp."/>
    <s v="Gastrointestinal infection"/>
    <s v="Fluoroquinolones"/>
    <s v="Ciprofloxacin"/>
    <n v="25"/>
    <m/>
    <m/>
    <m/>
    <m/>
    <n v="104"/>
    <s v="Medium â€“ GLASS 2025"/>
    <s v="WHO Global Antibiotic Resistance Surveillance Report 2025"/>
    <s v="WHO/2025/GLASS"/>
  </r>
  <r>
    <x v="0"/>
    <s v="GLO"/>
    <x v="0"/>
    <s v="Neisseria gonorrhoeae"/>
    <s v="Urogenital gonorrhoea"/>
    <s v="Extended-spectrum cephalosporins"/>
    <s v="Ceftriaxone"/>
    <n v="0.3"/>
    <m/>
    <m/>
    <n v="-3.2"/>
    <b v="0"/>
    <n v="104"/>
    <s v="High â€“ GLASS 2025; low resistance &lt;1% globally"/>
    <s v="WHO Global Antibiotic Resistance Surveillance Report 2025"/>
    <s v="WHO/2025/GLASS"/>
  </r>
  <r>
    <x v="0"/>
    <s v="GLO"/>
    <x v="0"/>
    <s v="Neisseria gonorrhoeae"/>
    <s v="Urogenital gonorrhoea"/>
    <s v="Fluoroquinolones"/>
    <s v="Ciprofloxacin"/>
    <n v="75"/>
    <m/>
    <m/>
    <m/>
    <m/>
    <n v="104"/>
    <s v="High â€“ GLASS 2025; 75% global resistance to ciprofloxacin"/>
    <s v="WHO Global Antibiotic Resistance Surveillance Report 2025"/>
    <s v="WHO/2025/GLASS"/>
  </r>
  <r>
    <x v="0"/>
    <s v="GLO"/>
    <x v="0"/>
    <s v="Neisseria gonorrhoeae"/>
    <s v="Urogenital gonorrhoea"/>
    <s v="Macrolides"/>
    <s v="Azithromycin"/>
    <n v="12.6"/>
    <m/>
    <m/>
    <m/>
    <m/>
    <n v="104"/>
    <s v="High â€“ GLASS 2025"/>
    <s v="WHO Global Antibiotic Resistance Surveillance Report 2025"/>
    <s v="WHO/2025/GLASS"/>
  </r>
  <r>
    <x v="0"/>
    <s v="GLO"/>
    <x v="0"/>
    <s v="Streptococcus pneumoniae"/>
    <s v="Lower respiratory / pneumonia"/>
    <s v="Penicillins"/>
    <s v="Penicillin G"/>
    <n v="20"/>
    <m/>
    <m/>
    <n v="-11"/>
    <b v="0"/>
    <n v="104"/>
    <s v="Medium â€“ GLASS 2025 global estimate"/>
    <s v="WHO Global Antibiotic Resistance Surveillance Report 2025"/>
    <s v="WHO/2025/GLASS"/>
  </r>
  <r>
    <x v="0"/>
    <s v="AFR"/>
    <x v="1"/>
    <s v="Escherichia coli"/>
    <s v="Bloodstream infection (BSI)"/>
    <s v="3rd-generation cephalosporins"/>
    <s v="Ceftriaxone"/>
    <n v="70"/>
    <m/>
    <m/>
    <m/>
    <m/>
    <n v="57"/>
    <s v="High â€“ Africa &gt;70% (WHO GLASS 2025 + CIDRAP summary)"/>
    <s v="WHO Global Antibiotic Resistance Surveillance Report 2025"/>
    <s v="WHO/2025/GLASS"/>
  </r>
  <r>
    <x v="0"/>
    <s v="AFR"/>
    <x v="1"/>
    <s v="Klebsiella pneumoniae"/>
    <s v="Bloodstream infection (BSI)"/>
    <s v="3rd-generation cephalosporins"/>
    <s v="Cefotaxime"/>
    <n v="70"/>
    <m/>
    <m/>
    <m/>
    <m/>
    <n v="57"/>
    <s v="High â€“ Africa &gt;70% both pathogens (WHO GLASS 2025)"/>
    <s v="WHO Global Antibiotic Resistance Surveillance Report 2025"/>
    <s v="WHO/2025/GLASS"/>
  </r>
  <r>
    <x v="0"/>
    <s v="AFR"/>
    <x v="1"/>
    <s v="Acinetobacter spp."/>
    <s v="Bloodstream infection (BSI)"/>
    <s v="Carbapenems"/>
    <s v="Imipenem"/>
    <n v="65"/>
    <m/>
    <m/>
    <m/>
    <m/>
    <n v="57"/>
    <s v="Medium â€“ extrapolated from GRAM Africa 2019 + GLASS 2025 trend"/>
    <s v="GRAM Africa Lancet 2024; WHO GLASS 2025"/>
    <s v="10.1016/S0140-6736(24)01867-1"/>
  </r>
  <r>
    <x v="0"/>
    <s v="AFR"/>
    <x v="1"/>
    <s v="Staphylococcus aureus (MRSA)"/>
    <s v="Bloodstream infection (BSI)"/>
    <s v="Methicillin/Beta-lactams"/>
    <s v="Oxacillin"/>
    <n v="40"/>
    <m/>
    <m/>
    <m/>
    <m/>
    <n v="57"/>
    <s v="Medium â€“ GLASS 2025; MRSA &gt;40% Middle East/Africa stated"/>
    <s v="WHO Global Antibiotic Resistance Surveillance Report 2025"/>
    <s v="WHO/2025/GLASS"/>
  </r>
  <r>
    <x v="0"/>
    <s v="AFR"/>
    <x v="1"/>
    <s v="All pathogens (median)"/>
    <s v="All infection types"/>
    <s v="All antibiotics"/>
    <s v="Median across combinations"/>
    <n v="20"/>
    <m/>
    <m/>
    <m/>
    <m/>
    <n v="57"/>
    <s v="High â€“ 1 in 5 infections resistant in Africa (WHO GLASS 2025)"/>
    <s v="WHO Global Antibiotic Resistance Surveillance Report 2025"/>
    <s v="WHO/2025/GLASS"/>
  </r>
  <r>
    <x v="0"/>
    <s v="EMR"/>
    <x v="2"/>
    <s v="All pathogens (median)"/>
    <s v="All infection types"/>
    <s v="All antibiotics"/>
    <s v="Median across combinations"/>
    <n v="30"/>
    <m/>
    <m/>
    <m/>
    <m/>
    <n v="76"/>
    <s v="High â€“ 1 in 3 (30%) EMR; tied highest with SEAR (AJMC/GLASS 2025)"/>
    <s v="WHO Global Antibiotic Resistance Surveillance Report 2025"/>
    <s v="WHO/2025/GLASS"/>
  </r>
  <r>
    <x v="0"/>
    <s v="EMR"/>
    <x v="2"/>
    <s v="Acinetobacter spp."/>
    <s v="Bloodstream infection (BSI)"/>
    <s v="Carbapenems"/>
    <s v="Imipenem"/>
    <n v="85"/>
    <m/>
    <m/>
    <m/>
    <m/>
    <n v="76"/>
    <s v="Medium â€“ Iran/Egypt &gt;85% cited in pharmacally.com GLASS 2025 summary"/>
    <s v="WHO Global Antibiotic Resistance Surveillance Report 2025"/>
    <s v="WHO/2025/GLASS"/>
  </r>
  <r>
    <x v="0"/>
    <s v="EMR"/>
    <x v="2"/>
    <s v="Klebsiella pneumoniae"/>
    <s v="Bloodstream infection (BSI)"/>
    <s v="3rd-generation cephalosporins"/>
    <s v="Cefotaxime"/>
    <n v="60.4"/>
    <n v="51.8"/>
    <n v="68.400000000000006"/>
    <m/>
    <m/>
    <n v="76"/>
    <s v="High â€“ 60.4% (51.8â€“68.4) EMR from GLASS 2025 summary PDF"/>
    <s v="WHO Global Antibiotic Resistance Surveillance Report 2025 Summary PDF"/>
    <s v="WHO/2025/GLASS"/>
  </r>
  <r>
    <x v="0"/>
    <s v="EUR"/>
    <x v="3"/>
    <s v="All pathogens (median)"/>
    <s v="All infection types"/>
    <s v="All antibiotics"/>
    <s v="Median across combinations"/>
    <n v="10.199999999999999"/>
    <m/>
    <m/>
    <m/>
    <m/>
    <n v="59"/>
    <s v="High â€“ 1 in 10 Europe (AJMC/GLASS 2025)"/>
    <s v="WHO Global Antibiotic Resistance Surveillance Report 2025"/>
    <s v="WHO/2025/GLASS"/>
  </r>
  <r>
    <x v="0"/>
    <s v="EUR"/>
    <x v="3"/>
    <s v="Escherichia coli"/>
    <s v="Bloodstream infection (BSI)"/>
    <s v="3rd-generation cephalosporins"/>
    <s v="Ceftriaxone"/>
    <n v="15"/>
    <m/>
    <m/>
    <m/>
    <m/>
    <n v="59"/>
    <s v="High â€“ EARS-Net 2024; EU/EEA significantly lower than global"/>
    <s v="ECDC EARS-Net 2024 AMR Surveillance Report"/>
    <s v="ECDC/2024/EARS-Net"/>
  </r>
  <r>
    <x v="0"/>
    <s v="EUR"/>
    <x v="3"/>
    <s v="Klebsiella pneumoniae"/>
    <s v="Bloodstream infection (BSI)"/>
    <s v="Carbapenems"/>
    <s v="Meropenem"/>
    <n v="8.5"/>
    <m/>
    <m/>
    <m/>
    <m/>
    <n v="59"/>
    <s v="High â€“ EARS-Net 2024 EU/EEA average"/>
    <s v="ECDC EARS-Net 2024 AMR Surveillance Report"/>
    <s v="ECDC/2024/EARS-Net"/>
  </r>
  <r>
    <x v="0"/>
    <s v="EUR"/>
    <x v="3"/>
    <s v="Staphylococcus aureus (MRSA)"/>
    <s v="Bloodstream infection (BSI)"/>
    <s v="Methicillin/Beta-lactams"/>
    <s v="Oxacillin"/>
    <n v="14"/>
    <m/>
    <m/>
    <m/>
    <m/>
    <n v="59"/>
    <s v="High â€“ EARS-Net 2024 EU/EEA average"/>
    <s v="ECDC EARS-Net 2024 AMR Surveillance Report"/>
    <s v="ECDC/2024/EARS-Net"/>
  </r>
  <r>
    <x v="0"/>
    <s v="SEAR"/>
    <x v="4"/>
    <s v="All pathogens (median)"/>
    <s v="All infection types"/>
    <s v="All antibiotics"/>
    <s v="Median across combinations"/>
    <n v="31.1"/>
    <m/>
    <m/>
    <m/>
    <m/>
    <n v="91"/>
    <s v="High â€“ 31.1% SEAR, highest globally (AJMC/GLASS 2025)"/>
    <s v="WHO Global Antibiotic Resistance Surveillance Report 2025"/>
    <s v="WHO/2025/GLASS"/>
  </r>
  <r>
    <x v="0"/>
    <s v="SEAR"/>
    <x v="4"/>
    <s v="Escherichia coli"/>
    <s v="Bloodstream infection (BSI)"/>
    <s v="Fluoroquinolones"/>
    <s v="Ciprofloxacin"/>
    <n v="60"/>
    <m/>
    <m/>
    <m/>
    <m/>
    <n v="91"/>
    <s v="Medium â€“ &gt;60% in Asian regions (Pharmacally GLASS 2025 summary)"/>
    <s v="WHO Global Antibiotic Resistance Surveillance Report 2025"/>
    <s v="WHO/2025/GLASS"/>
  </r>
  <r>
    <x v="0"/>
    <s v="SEAR"/>
    <x v="4"/>
    <s v="Klebsiella pneumoniae"/>
    <s v="Bloodstream infection (BSI)"/>
    <s v="3rd-generation cephalosporins"/>
    <s v="Cefotaxime"/>
    <n v="58"/>
    <m/>
    <m/>
    <m/>
    <m/>
    <n v="91"/>
    <s v="Medium â€“ GLASS 2025 SEAR estimate"/>
    <s v="WHO Global Antibiotic Resistance Surveillance Report 2025"/>
    <s v="WHO/2025/GLASS"/>
  </r>
  <r>
    <x v="0"/>
    <s v="AMR_region"/>
    <x v="5"/>
    <s v="All pathogens (median)"/>
    <s v="All infection types"/>
    <s v="All antibiotics"/>
    <s v="Median across combinations"/>
    <n v="16"/>
    <m/>
    <m/>
    <m/>
    <m/>
    <n v="20"/>
    <s v="Medium â€“ lowest GLASS participation; 20% of members reporting (AJMC 2025)"/>
    <s v="WHO Global Antibiotic Resistance Surveillance Report 2025"/>
    <s v="WHO/2025/GLASS"/>
  </r>
  <r>
    <x v="0"/>
    <s v="AMR_region"/>
    <x v="5"/>
    <s v="Escherichia coli"/>
    <s v="Bloodstream infection (BSI)"/>
    <s v="3rd-generation cephalosporins"/>
    <s v="Ceftriaxone"/>
    <n v="25"/>
    <m/>
    <m/>
    <m/>
    <m/>
    <n v="20"/>
    <s v="Medium â€“ PAHO ReLAVRA+ data combined with GLASS estimates"/>
    <s v="WHO Global Antibiotic Resistance Surveillance Report 2025"/>
    <s v="WHO/2025/GLASS"/>
  </r>
  <r>
    <x v="0"/>
    <s v="WPR"/>
    <x v="6"/>
    <s v="All pathogens (median)"/>
    <s v="All infection types"/>
    <s v="All antibiotics"/>
    <s v="Median across combinations"/>
    <n v="9.1"/>
    <m/>
    <m/>
    <m/>
    <m/>
    <n v="37"/>
    <s v="High â€“ 1 in 11 WPR; lowest resistance regionally (AJMC/GLASS 2025)"/>
    <s v="WHO Global Antibiotic Resistance Surveillance Report 2025"/>
    <s v="WHO/2025/GLASS"/>
  </r>
  <r>
    <x v="0"/>
    <s v="WPR"/>
    <x v="6"/>
    <s v="Neisseria gonorrhoeae"/>
    <s v="Urogenital gonorrhoea"/>
    <s v="Extended-spectrum cephalosporins"/>
    <s v="Ceftriaxone"/>
    <n v="1.5"/>
    <m/>
    <m/>
    <m/>
    <m/>
    <n v="37"/>
    <s v="High â€“ WPR highest gonorrhoea burden, 52% of global cases (WHO Nov 2025)"/>
    <s v="WHO gonorrhoea AMR surveillance Nov 2025"/>
    <s v="WHO/2025/gonorrhoea"/>
  </r>
  <r>
    <x v="1"/>
    <s v="GLO"/>
    <x v="0"/>
    <s v="Escherichia coli"/>
    <s v="Bloodstream infection (BSI)"/>
    <s v="3rd-generation cephalosporins"/>
    <s v="Ceftriaxone"/>
    <n v="38"/>
    <m/>
    <m/>
    <s v="1.3% annual increase (2018-2023 GLASS 2025)"/>
    <b v="0"/>
    <n v="104"/>
    <s v="High â€“ GLASS annual reports"/>
    <s v="WHO GLASS Reports 2016-2025"/>
    <s v="WHO/GLASS/annual"/>
  </r>
  <r>
    <x v="2"/>
    <s v="GLO"/>
    <x v="0"/>
    <s v="Escherichia coli"/>
    <s v="Bloodstream infection (BSI)"/>
    <s v="3rd-generation cephalosporins"/>
    <s v="Ceftriaxone"/>
    <n v="39.5"/>
    <m/>
    <m/>
    <s v="1.3% annual increase (2018-2023 GLASS 2025)"/>
    <b v="0"/>
    <n v="104"/>
    <s v="High â€“ GLASS annual reports"/>
    <s v="WHO GLASS Reports 2016-2025"/>
    <s v="WHO/GLASS/annual"/>
  </r>
  <r>
    <x v="3"/>
    <s v="GLO"/>
    <x v="0"/>
    <s v="Escherichia coli"/>
    <s v="Bloodstream infection (BSI)"/>
    <s v="3rd-generation cephalosporins"/>
    <s v="Ceftriaxone"/>
    <n v="40"/>
    <m/>
    <m/>
    <s v="1.3% annual increase (2018-2023 GLASS 2025)"/>
    <b v="1"/>
    <n v="104"/>
    <s v="High â€“ GLASS annual reports"/>
    <s v="WHO GLASS Reports 2016-2025"/>
    <s v="WHO/GLASS/annual"/>
  </r>
  <r>
    <x v="4"/>
    <s v="GLO"/>
    <x v="0"/>
    <s v="Escherichia coli"/>
    <s v="Bloodstream infection (BSI)"/>
    <s v="3rd-generation cephalosporins"/>
    <s v="Ceftriaxone"/>
    <n v="41.2"/>
    <m/>
    <m/>
    <s v="1.3% annual increase (2018-2023 GLASS 2025)"/>
    <b v="1"/>
    <n v="104"/>
    <s v="High â€“ GLASS annual reports"/>
    <s v="WHO GLASS Reports 2016-2025"/>
    <s v="WHO/GLASS/annual"/>
  </r>
  <r>
    <x v="5"/>
    <s v="GLO"/>
    <x v="0"/>
    <s v="Escherichia coli"/>
    <s v="Bloodstream infection (BSI)"/>
    <s v="3rd-generation cephalosporins"/>
    <s v="Ceftriaxone"/>
    <n v="40.5"/>
    <m/>
    <m/>
    <s v="1.3% annual increase (2018-2023 GLASS 2025)"/>
    <b v="1"/>
    <n v="104"/>
    <s v="High â€“ GLASS annual reports"/>
    <s v="WHO GLASS Reports 2016-2025"/>
    <s v="WHO/GLASS/annual"/>
  </r>
  <r>
    <x v="6"/>
    <s v="GLO"/>
    <x v="0"/>
    <s v="Escherichia coli"/>
    <s v="Bloodstream infection (BSI)"/>
    <s v="3rd-generation cephalosporins"/>
    <s v="Ceftriaxone"/>
    <n v="42.8"/>
    <m/>
    <m/>
    <s v="1.3% annual increase (2018-2023 GLASS 2025)"/>
    <b v="1"/>
    <n v="104"/>
    <s v="High â€“ GLASS annual reports"/>
    <s v="WHO GLASS Reports 2016-2025"/>
    <s v="WHO/GLASS/annual"/>
  </r>
  <r>
    <x v="7"/>
    <s v="GLO"/>
    <x v="0"/>
    <s v="Escherichia coli"/>
    <s v="Bloodstream infection (BSI)"/>
    <s v="3rd-generation cephalosporins"/>
    <s v="Ceftriaxone"/>
    <n v="43.5"/>
    <m/>
    <m/>
    <s v="1.3% annual increase (2018-2023 GLASS 2025)"/>
    <b v="1"/>
    <n v="104"/>
    <s v="High â€“ GLASS annual reports"/>
    <s v="WHO GLASS Reports 2016-2025"/>
    <s v="WHO/GLASS/annual"/>
  </r>
  <r>
    <x v="0"/>
    <s v="GLO"/>
    <x v="0"/>
    <s v="Escherichia coli"/>
    <s v="Bloodstream infection (BSI)"/>
    <s v="3rd-generation cephalosporins"/>
    <s v="Ceftriaxone"/>
    <n v="44.8"/>
    <m/>
    <m/>
    <s v="1.3% annual increase (2018-2023 GLASS 2025)"/>
    <b v="1"/>
    <n v="104"/>
    <s v="High â€“ GLASS annual reports"/>
    <s v="WHO GLASS Reports 2016-2025"/>
    <s v="WHO/GLASS/annual"/>
  </r>
  <r>
    <x v="1"/>
    <s v="GLO"/>
    <x v="0"/>
    <s v="Staphylococcus aureus (MRSA)"/>
    <s v="Bloodstream infection (BSI)"/>
    <s v="Methicillin/Beta-lactams"/>
    <s v="Oxacillin"/>
    <n v="29"/>
    <m/>
    <m/>
    <s v="-2.5% annual (statistically significant decrease, GLASS 2025)"/>
    <b v="0"/>
    <n v="104"/>
    <s v="High â€“ GLASS annual reports"/>
    <s v="WHO GLASS Reports 2016-2025"/>
    <s v="WHO/GLASS/annual"/>
  </r>
  <r>
    <x v="2"/>
    <s v="GLO"/>
    <x v="0"/>
    <s v="Staphylococcus aureus (MRSA)"/>
    <s v="Bloodstream infection (BSI)"/>
    <s v="Methicillin/Beta-lactams"/>
    <s v="Oxacillin"/>
    <n v="28.5"/>
    <m/>
    <m/>
    <s v="-2.5% annual (statistically significant decrease, GLASS 2025)"/>
    <b v="0"/>
    <n v="104"/>
    <s v="High â€“ GLASS annual reports"/>
    <s v="WHO GLASS Reports 2016-2025"/>
    <s v="WHO/GLASS/annual"/>
  </r>
  <r>
    <x v="3"/>
    <s v="GLO"/>
    <x v="0"/>
    <s v="Staphylococcus aureus (MRSA)"/>
    <s v="Bloodstream infection (BSI)"/>
    <s v="Methicillin/Beta-lactams"/>
    <s v="Oxacillin"/>
    <n v="28"/>
    <m/>
    <m/>
    <s v="-2.5% annual (statistically significant decrease, GLASS 2025)"/>
    <b v="1"/>
    <n v="104"/>
    <s v="High â€“ GLASS annual reports"/>
    <s v="WHO GLASS Reports 2016-2025"/>
    <s v="WHO/GLASS/annual"/>
  </r>
  <r>
    <x v="4"/>
    <s v="GLO"/>
    <x v="0"/>
    <s v="Staphylococcus aureus (MRSA)"/>
    <s v="Bloodstream infection (BSI)"/>
    <s v="Methicillin/Beta-lactams"/>
    <s v="Oxacillin"/>
    <n v="27.5"/>
    <m/>
    <m/>
    <s v="-2.5% annual (statistically significant decrease, GLASS 2025)"/>
    <b v="1"/>
    <n v="104"/>
    <s v="High â€“ GLASS annual reports"/>
    <s v="WHO GLASS Reports 2016-2025"/>
    <s v="WHO/GLASS/annual"/>
  </r>
  <r>
    <x v="5"/>
    <s v="GLO"/>
    <x v="0"/>
    <s v="Staphylococcus aureus (MRSA)"/>
    <s v="Bloodstream infection (BSI)"/>
    <s v="Methicillin/Beta-lactams"/>
    <s v="Oxacillin"/>
    <n v="27.8"/>
    <m/>
    <m/>
    <s v="-2.5% annual (statistically significant decrease, GLASS 2025)"/>
    <b v="1"/>
    <n v="104"/>
    <s v="High â€“ GLASS annual reports"/>
    <s v="WHO GLASS Reports 2016-2025"/>
    <s v="WHO/GLASS/annual"/>
  </r>
  <r>
    <x v="6"/>
    <s v="GLO"/>
    <x v="0"/>
    <s v="Staphylococcus aureus (MRSA)"/>
    <s v="Bloodstream infection (BSI)"/>
    <s v="Methicillin/Beta-lactams"/>
    <s v="Oxacillin"/>
    <n v="27"/>
    <m/>
    <m/>
    <s v="-2.5% annual (statistically significant decrease, GLASS 2025)"/>
    <b v="1"/>
    <n v="104"/>
    <s v="High â€“ GLASS annual reports"/>
    <s v="WHO GLASS Reports 2016-2025"/>
    <s v="WHO/GLASS/annual"/>
  </r>
  <r>
    <x v="7"/>
    <s v="GLO"/>
    <x v="0"/>
    <s v="Staphylococcus aureus (MRSA)"/>
    <s v="Bloodstream infection (BSI)"/>
    <s v="Methicillin/Beta-lactams"/>
    <s v="Oxacillin"/>
    <n v="27.3"/>
    <m/>
    <m/>
    <s v="-2.5% annual (statistically significant decrease, GLASS 2025)"/>
    <b v="1"/>
    <n v="104"/>
    <s v="High â€“ GLASS annual reports"/>
    <s v="WHO GLASS Reports 2016-2025"/>
    <s v="WHO/GLASS/annual"/>
  </r>
  <r>
    <x v="0"/>
    <s v="GLO"/>
    <x v="0"/>
    <s v="Staphylococcus aureus (MRSA)"/>
    <s v="Bloodstream infection (BSI)"/>
    <s v="Methicillin/Beta-lactams"/>
    <s v="Oxacillin"/>
    <n v="27"/>
    <m/>
    <m/>
    <s v="-2.5% annual (statistically significant decrease, GLASS 2025)"/>
    <b v="1"/>
    <n v="104"/>
    <s v="High â€“ GLASS annual reports"/>
    <s v="WHO GLASS Reports 2016-2025"/>
    <s v="WHO/GLASS/annual"/>
  </r>
  <r>
    <x v="1"/>
    <s v="GLO"/>
    <x v="0"/>
    <s v="Acinetobacter spp."/>
    <s v="Bloodstream infection (BSI)"/>
    <s v="Carbapenems"/>
    <s v="Imipenem"/>
    <n v="44"/>
    <m/>
    <m/>
    <s v="+5.3% annual (statistically significant increase, GLASS 2025)"/>
    <b v="0"/>
    <n v="104"/>
    <s v="High â€“ GLASS annual reports"/>
    <s v="WHO GLASS Reports 2016-2025"/>
    <s v="WHO/GLASS/annual"/>
  </r>
  <r>
    <x v="2"/>
    <s v="GLO"/>
    <x v="0"/>
    <s v="Acinetobacter spp."/>
    <s v="Bloodstream infection (BSI)"/>
    <s v="Carbapenems"/>
    <s v="Imipenem"/>
    <n v="46.5"/>
    <m/>
    <m/>
    <s v="+5.3% annual (statistically significant increase, GLASS 2025)"/>
    <b v="0"/>
    <n v="104"/>
    <s v="High â€“ GLASS annual reports"/>
    <s v="WHO GLASS Reports 2016-2025"/>
    <s v="WHO/GLASS/annual"/>
  </r>
  <r>
    <x v="3"/>
    <s v="GLO"/>
    <x v="0"/>
    <s v="Acinetobacter spp."/>
    <s v="Bloodstream infection (BSI)"/>
    <s v="Carbapenems"/>
    <s v="Imipenem"/>
    <n v="48"/>
    <m/>
    <m/>
    <s v="+5.3% annual (statistically significant increase, GLASS 2025)"/>
    <b v="1"/>
    <n v="104"/>
    <s v="High â€“ GLASS annual reports"/>
    <s v="WHO GLASS Reports 2016-2025"/>
    <s v="WHO/GLASS/annual"/>
  </r>
  <r>
    <x v="4"/>
    <s v="GLO"/>
    <x v="0"/>
    <s v="Acinetobacter spp."/>
    <s v="Bloodstream infection (BSI)"/>
    <s v="Carbapenems"/>
    <s v="Imipenem"/>
    <n v="49.5"/>
    <m/>
    <m/>
    <s v="+5.3% annual (statistically significant increase, GLASS 2025)"/>
    <b v="1"/>
    <n v="104"/>
    <s v="High â€“ GLASS annual reports"/>
    <s v="WHO GLASS Reports 2016-2025"/>
    <s v="WHO/GLASS/annual"/>
  </r>
  <r>
    <x v="5"/>
    <s v="GLO"/>
    <x v="0"/>
    <s v="Acinetobacter spp."/>
    <s v="Bloodstream infection (BSI)"/>
    <s v="Carbapenems"/>
    <s v="Imipenem"/>
    <n v="51"/>
    <m/>
    <m/>
    <s v="+5.3% annual (statistically significant increase, GLASS 2025)"/>
    <b v="1"/>
    <n v="104"/>
    <s v="High â€“ GLASS annual reports"/>
    <s v="WHO GLASS Reports 2016-2025"/>
    <s v="WHO/GLASS/annual"/>
  </r>
  <r>
    <x v="6"/>
    <s v="GLO"/>
    <x v="0"/>
    <s v="Acinetobacter spp."/>
    <s v="Bloodstream infection (BSI)"/>
    <s v="Carbapenems"/>
    <s v="Imipenem"/>
    <n v="52"/>
    <m/>
    <m/>
    <s v="+5.3% annual (statistically significant increase, GLASS 2025)"/>
    <b v="1"/>
    <n v="104"/>
    <s v="High â€“ GLASS annual reports"/>
    <s v="WHO GLASS Reports 2016-2025"/>
    <s v="WHO/GLASS/annual"/>
  </r>
  <r>
    <x v="7"/>
    <s v="GLO"/>
    <x v="0"/>
    <s v="Acinetobacter spp."/>
    <s v="Bloodstream infection (BSI)"/>
    <s v="Carbapenems"/>
    <s v="Imipenem"/>
    <n v="53"/>
    <m/>
    <m/>
    <s v="+5.3% annual (statistically significant increase, GLASS 2025)"/>
    <b v="1"/>
    <n v="104"/>
    <s v="High â€“ GLASS annual reports"/>
    <s v="WHO GLASS Reports 2016-2025"/>
    <s v="WHO/GLASS/annual"/>
  </r>
  <r>
    <x v="0"/>
    <s v="GLO"/>
    <x v="0"/>
    <s v="Acinetobacter spp."/>
    <s v="Bloodstream infection (BSI)"/>
    <s v="Carbapenems"/>
    <s v="Imipenem"/>
    <n v="54.3"/>
    <m/>
    <m/>
    <s v="+5.3% annual (statistically significant increase, GLASS 2025)"/>
    <b v="1"/>
    <n v="104"/>
    <s v="High â€“ GLASS annual reports"/>
    <s v="WHO GLASS Reports 2016-2025"/>
    <s v="WHO/GLASS/annu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B12" firstHeaderRow="1" firstDataRow="1" firstDataCol="1" rowPageCount="1" colPageCount="1"/>
  <pivotFields count="16">
    <pivotField axis="axisRow" showAll="0">
      <items count="9">
        <item x="1"/>
        <item x="2"/>
        <item x="3"/>
        <item x="4"/>
        <item x="5"/>
        <item x="6"/>
        <item x="7"/>
        <item x="0"/>
        <item t="default"/>
      </items>
    </pivotField>
    <pivotField showAll="0"/>
    <pivotField axis="axisPage" showAll="0">
      <items count="8">
        <item x="1"/>
        <item x="5"/>
        <item x="2"/>
        <item x="3"/>
        <item x="0"/>
        <item x="4"/>
        <item x="6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2" item="4" hier="-1"/>
  </pageFields>
  <dataFields count="1">
    <dataField name="Sum of resistance_pct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5">
  <location ref="A3:B11" firstHeaderRow="1" firstDataRow="1" firstDataCol="1"/>
  <pivotFields count="16">
    <pivotField showAll="0"/>
    <pivotField showAll="0"/>
    <pivotField axis="axisRow" showAll="0">
      <items count="8">
        <item x="1"/>
        <item x="5"/>
        <item x="2"/>
        <item x="3"/>
        <item x="0"/>
        <item x="4"/>
        <item x="6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resistance_pct" fld="7" subtotal="average" baseField="2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P58" totalsRowShown="0">
  <autoFilter ref="A1:P58"/>
  <tableColumns count="16">
    <tableColumn id="1" name="year"/>
    <tableColumn id="2" name="who_region"/>
    <tableColumn id="3" name="who_region_name"/>
    <tableColumn id="4" name="pathogen"/>
    <tableColumn id="5" name="infection_type"/>
    <tableColumn id="6" name="antibiotic_class"/>
    <tableColumn id="7" name="key_antibiotic"/>
    <tableColumn id="8" name="resistance_pct"/>
    <tableColumn id="9" name="resistance_pct_lower_ci"/>
    <tableColumn id="10" name="resistance_pct_upper_ci"/>
    <tableColumn id="11" name="trend_2018_2023_annual_pct_change"/>
    <tableColumn id="12" name="trend_significant"/>
    <tableColumn id="13" name="countries_reporting"/>
    <tableColumn id="14" name="data_quality_flag"/>
    <tableColumn id="15" name="primary_source"/>
    <tableColumn id="16" name="source_do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B19" sqref="B19"/>
    </sheetView>
  </sheetViews>
  <sheetFormatPr defaultRowHeight="14.5" x14ac:dyDescent="0.35"/>
  <cols>
    <col min="1" max="1" width="16.54296875" bestFit="1" customWidth="1"/>
    <col min="2" max="2" width="19.36328125" bestFit="1" customWidth="1"/>
  </cols>
  <sheetData>
    <row r="1" spans="1:2" x14ac:dyDescent="0.35">
      <c r="A1" s="1" t="s">
        <v>2</v>
      </c>
      <c r="B1" t="s">
        <v>17</v>
      </c>
    </row>
    <row r="3" spans="1:2" x14ac:dyDescent="0.35">
      <c r="A3" s="1" t="s">
        <v>108</v>
      </c>
      <c r="B3" t="s">
        <v>110</v>
      </c>
    </row>
    <row r="4" spans="1:2" x14ac:dyDescent="0.35">
      <c r="A4" s="2">
        <v>2016</v>
      </c>
      <c r="B4" s="3">
        <v>111</v>
      </c>
    </row>
    <row r="5" spans="1:2" x14ac:dyDescent="0.35">
      <c r="A5" s="2">
        <v>2017</v>
      </c>
      <c r="B5" s="3">
        <v>114.5</v>
      </c>
    </row>
    <row r="6" spans="1:2" x14ac:dyDescent="0.35">
      <c r="A6" s="2">
        <v>2018</v>
      </c>
      <c r="B6" s="3">
        <v>116</v>
      </c>
    </row>
    <row r="7" spans="1:2" x14ac:dyDescent="0.35">
      <c r="A7" s="2">
        <v>2019</v>
      </c>
      <c r="B7" s="3">
        <v>118.2</v>
      </c>
    </row>
    <row r="8" spans="1:2" x14ac:dyDescent="0.35">
      <c r="A8" s="2">
        <v>2020</v>
      </c>
      <c r="B8" s="3">
        <v>119.3</v>
      </c>
    </row>
    <row r="9" spans="1:2" x14ac:dyDescent="0.35">
      <c r="A9" s="2">
        <v>2021</v>
      </c>
      <c r="B9" s="3">
        <v>121.8</v>
      </c>
    </row>
    <row r="10" spans="1:2" x14ac:dyDescent="0.35">
      <c r="A10" s="2">
        <v>2022</v>
      </c>
      <c r="B10" s="3">
        <v>123.8</v>
      </c>
    </row>
    <row r="11" spans="1:2" x14ac:dyDescent="0.35">
      <c r="A11" s="2">
        <v>2023</v>
      </c>
      <c r="B11" s="3">
        <v>551.80000000000007</v>
      </c>
    </row>
    <row r="12" spans="1:2" x14ac:dyDescent="0.35">
      <c r="A12" s="2" t="s">
        <v>109</v>
      </c>
      <c r="B12" s="3">
        <v>1376.4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1"/>
  <sheetViews>
    <sheetView workbookViewId="0">
      <selection activeCell="B4" sqref="B4:C5"/>
    </sheetView>
  </sheetViews>
  <sheetFormatPr defaultRowHeight="14.5" x14ac:dyDescent="0.35"/>
  <cols>
    <col min="1" max="1" width="20.26953125" bestFit="1" customWidth="1"/>
    <col min="2" max="2" width="22.54296875" bestFit="1" customWidth="1"/>
  </cols>
  <sheetData>
    <row r="3" spans="1:2" x14ac:dyDescent="0.35">
      <c r="A3" s="1" t="s">
        <v>108</v>
      </c>
      <c r="B3" t="s">
        <v>111</v>
      </c>
    </row>
    <row r="4" spans="1:2" x14ac:dyDescent="0.35">
      <c r="A4" s="2" t="s">
        <v>60</v>
      </c>
      <c r="B4" s="3">
        <v>53</v>
      </c>
    </row>
    <row r="5" spans="1:2" x14ac:dyDescent="0.35">
      <c r="A5" s="2" t="s">
        <v>93</v>
      </c>
      <c r="B5" s="3">
        <v>20.5</v>
      </c>
    </row>
    <row r="6" spans="1:2" x14ac:dyDescent="0.35">
      <c r="A6" s="2" t="s">
        <v>74</v>
      </c>
      <c r="B6" s="3">
        <v>58.466666666666669</v>
      </c>
    </row>
    <row r="7" spans="1:2" x14ac:dyDescent="0.35">
      <c r="A7" s="2" t="s">
        <v>80</v>
      </c>
      <c r="B7" s="3">
        <v>11.925000000000001</v>
      </c>
    </row>
    <row r="8" spans="1:2" x14ac:dyDescent="0.35">
      <c r="A8" s="2" t="s">
        <v>17</v>
      </c>
      <c r="B8" s="3">
        <v>36.221052631578942</v>
      </c>
    </row>
    <row r="9" spans="1:2" x14ac:dyDescent="0.35">
      <c r="A9" s="2" t="s">
        <v>88</v>
      </c>
      <c r="B9" s="3">
        <v>49.699999999999996</v>
      </c>
    </row>
    <row r="10" spans="1:2" x14ac:dyDescent="0.35">
      <c r="A10" s="2" t="s">
        <v>97</v>
      </c>
      <c r="B10" s="3">
        <v>5.3</v>
      </c>
    </row>
    <row r="11" spans="1:2" x14ac:dyDescent="0.35">
      <c r="A11" s="2" t="s">
        <v>109</v>
      </c>
      <c r="B11" s="3">
        <v>36.231578947368412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8"/>
  <sheetViews>
    <sheetView topLeftCell="A2" workbookViewId="0">
      <selection activeCell="D15" sqref="D15"/>
    </sheetView>
  </sheetViews>
  <sheetFormatPr defaultRowHeight="14.5" x14ac:dyDescent="0.35"/>
  <cols>
    <col min="2" max="2" width="12.7265625" customWidth="1"/>
    <col min="3" max="3" width="18.453125" customWidth="1"/>
    <col min="4" max="4" width="10.81640625" customWidth="1"/>
    <col min="5" max="5" width="14.90625" customWidth="1"/>
    <col min="6" max="6" width="15.6328125" customWidth="1"/>
    <col min="7" max="7" width="14.6328125" customWidth="1"/>
    <col min="8" max="8" width="14.90625" customWidth="1"/>
    <col min="9" max="9" width="22.90625" customWidth="1"/>
    <col min="10" max="10" width="23.1796875" customWidth="1"/>
    <col min="11" max="11" width="34.7265625" customWidth="1"/>
    <col min="12" max="12" width="16.90625" customWidth="1"/>
    <col min="13" max="13" width="19.453125" customWidth="1"/>
    <col min="14" max="14" width="17.36328125" customWidth="1"/>
    <col min="15" max="15" width="15.90625" customWidth="1"/>
    <col min="16" max="16" width="12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2023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44.8</v>
      </c>
      <c r="K2">
        <v>1.3</v>
      </c>
      <c r="L2" t="b">
        <v>1</v>
      </c>
      <c r="M2">
        <v>104</v>
      </c>
      <c r="N2" t="s">
        <v>22</v>
      </c>
      <c r="O2" t="s">
        <v>23</v>
      </c>
      <c r="P2" t="s">
        <v>24</v>
      </c>
    </row>
    <row r="3" spans="1:16" x14ac:dyDescent="0.35">
      <c r="A3">
        <v>2023</v>
      </c>
      <c r="B3" t="s">
        <v>16</v>
      </c>
      <c r="C3" t="s">
        <v>17</v>
      </c>
      <c r="D3" t="s">
        <v>25</v>
      </c>
      <c r="E3" t="s">
        <v>19</v>
      </c>
      <c r="F3" t="s">
        <v>20</v>
      </c>
      <c r="G3" t="s">
        <v>26</v>
      </c>
      <c r="H3">
        <v>55.2</v>
      </c>
      <c r="I3">
        <v>48.5</v>
      </c>
      <c r="J3">
        <v>61.7</v>
      </c>
      <c r="M3">
        <v>104</v>
      </c>
      <c r="N3" t="s">
        <v>22</v>
      </c>
      <c r="O3" t="s">
        <v>23</v>
      </c>
      <c r="P3" t="s">
        <v>24</v>
      </c>
    </row>
    <row r="4" spans="1:16" x14ac:dyDescent="0.35">
      <c r="A4">
        <v>2023</v>
      </c>
      <c r="B4" t="s">
        <v>16</v>
      </c>
      <c r="C4" t="s">
        <v>17</v>
      </c>
      <c r="D4" t="s">
        <v>27</v>
      </c>
      <c r="E4" t="s">
        <v>19</v>
      </c>
      <c r="F4" t="s">
        <v>28</v>
      </c>
      <c r="G4" t="s">
        <v>29</v>
      </c>
      <c r="H4">
        <v>54.3</v>
      </c>
      <c r="K4">
        <v>5.3</v>
      </c>
      <c r="L4" t="b">
        <v>1</v>
      </c>
      <c r="M4">
        <v>104</v>
      </c>
      <c r="N4" t="s">
        <v>22</v>
      </c>
      <c r="O4" t="s">
        <v>23</v>
      </c>
      <c r="P4" t="s">
        <v>24</v>
      </c>
    </row>
    <row r="5" spans="1:16" x14ac:dyDescent="0.35">
      <c r="A5">
        <v>2023</v>
      </c>
      <c r="B5" t="s">
        <v>16</v>
      </c>
      <c r="C5" t="s">
        <v>17</v>
      </c>
      <c r="D5" t="s">
        <v>30</v>
      </c>
      <c r="E5" t="s">
        <v>19</v>
      </c>
      <c r="F5" t="s">
        <v>31</v>
      </c>
      <c r="G5" t="s">
        <v>32</v>
      </c>
      <c r="H5">
        <v>27</v>
      </c>
      <c r="K5">
        <v>-2.5</v>
      </c>
      <c r="L5" t="b">
        <v>1</v>
      </c>
      <c r="M5">
        <v>104</v>
      </c>
      <c r="N5" t="s">
        <v>33</v>
      </c>
      <c r="O5" t="s">
        <v>23</v>
      </c>
      <c r="P5" t="s">
        <v>24</v>
      </c>
    </row>
    <row r="6" spans="1:16" x14ac:dyDescent="0.35">
      <c r="A6">
        <v>2023</v>
      </c>
      <c r="B6" t="s">
        <v>16</v>
      </c>
      <c r="C6" t="s">
        <v>17</v>
      </c>
      <c r="D6" t="s">
        <v>18</v>
      </c>
      <c r="E6" t="s">
        <v>19</v>
      </c>
      <c r="F6" t="s">
        <v>28</v>
      </c>
      <c r="G6" t="s">
        <v>29</v>
      </c>
      <c r="H6">
        <v>3.5</v>
      </c>
      <c r="M6">
        <v>104</v>
      </c>
      <c r="N6" t="s">
        <v>34</v>
      </c>
      <c r="O6" t="s">
        <v>23</v>
      </c>
      <c r="P6" t="s">
        <v>24</v>
      </c>
    </row>
    <row r="7" spans="1:16" x14ac:dyDescent="0.35">
      <c r="A7">
        <v>2023</v>
      </c>
      <c r="B7" t="s">
        <v>16</v>
      </c>
      <c r="C7" t="s">
        <v>17</v>
      </c>
      <c r="D7" t="s">
        <v>25</v>
      </c>
      <c r="E7" t="s">
        <v>19</v>
      </c>
      <c r="F7" t="s">
        <v>28</v>
      </c>
      <c r="G7" t="s">
        <v>29</v>
      </c>
      <c r="H7">
        <v>15</v>
      </c>
      <c r="M7">
        <v>104</v>
      </c>
      <c r="N7" t="s">
        <v>34</v>
      </c>
      <c r="O7" t="s">
        <v>23</v>
      </c>
      <c r="P7" t="s">
        <v>24</v>
      </c>
    </row>
    <row r="8" spans="1:16" x14ac:dyDescent="0.35">
      <c r="A8">
        <v>2023</v>
      </c>
      <c r="B8" t="s">
        <v>16</v>
      </c>
      <c r="C8" t="s">
        <v>17</v>
      </c>
      <c r="D8" t="s">
        <v>18</v>
      </c>
      <c r="E8" t="s">
        <v>35</v>
      </c>
      <c r="F8" t="s">
        <v>20</v>
      </c>
      <c r="G8" t="s">
        <v>36</v>
      </c>
      <c r="H8">
        <v>33</v>
      </c>
      <c r="M8">
        <v>104</v>
      </c>
      <c r="N8" t="s">
        <v>37</v>
      </c>
      <c r="O8" t="s">
        <v>23</v>
      </c>
      <c r="P8" t="s">
        <v>24</v>
      </c>
    </row>
    <row r="9" spans="1:16" x14ac:dyDescent="0.35">
      <c r="A9">
        <v>2023</v>
      </c>
      <c r="B9" t="s">
        <v>16</v>
      </c>
      <c r="C9" t="s">
        <v>17</v>
      </c>
      <c r="D9" t="s">
        <v>18</v>
      </c>
      <c r="E9" t="s">
        <v>35</v>
      </c>
      <c r="F9" t="s">
        <v>38</v>
      </c>
      <c r="G9" t="s">
        <v>39</v>
      </c>
      <c r="H9">
        <v>40</v>
      </c>
      <c r="M9">
        <v>104</v>
      </c>
      <c r="N9" t="s">
        <v>40</v>
      </c>
      <c r="O9" t="s">
        <v>23</v>
      </c>
      <c r="P9" t="s">
        <v>24</v>
      </c>
    </row>
    <row r="10" spans="1:16" x14ac:dyDescent="0.35">
      <c r="A10">
        <v>2023</v>
      </c>
      <c r="B10" t="s">
        <v>16</v>
      </c>
      <c r="C10" t="s">
        <v>17</v>
      </c>
      <c r="D10" t="s">
        <v>41</v>
      </c>
      <c r="E10" t="s">
        <v>42</v>
      </c>
      <c r="F10" t="s">
        <v>38</v>
      </c>
      <c r="G10" t="s">
        <v>39</v>
      </c>
      <c r="H10">
        <v>20</v>
      </c>
      <c r="M10">
        <v>104</v>
      </c>
      <c r="N10" t="s">
        <v>43</v>
      </c>
      <c r="O10" t="s">
        <v>23</v>
      </c>
      <c r="P10" t="s">
        <v>24</v>
      </c>
    </row>
    <row r="11" spans="1:16" x14ac:dyDescent="0.35">
      <c r="A11">
        <v>2023</v>
      </c>
      <c r="B11" t="s">
        <v>16</v>
      </c>
      <c r="C11" t="s">
        <v>17</v>
      </c>
      <c r="D11" t="s">
        <v>44</v>
      </c>
      <c r="E11" t="s">
        <v>42</v>
      </c>
      <c r="F11" t="s">
        <v>38</v>
      </c>
      <c r="G11" t="s">
        <v>39</v>
      </c>
      <c r="H11">
        <v>25</v>
      </c>
      <c r="M11">
        <v>104</v>
      </c>
      <c r="N11" t="s">
        <v>45</v>
      </c>
      <c r="O11" t="s">
        <v>23</v>
      </c>
      <c r="P11" t="s">
        <v>24</v>
      </c>
    </row>
    <row r="12" spans="1:16" x14ac:dyDescent="0.35">
      <c r="A12">
        <v>2023</v>
      </c>
      <c r="B12" t="s">
        <v>16</v>
      </c>
      <c r="C12" t="s">
        <v>17</v>
      </c>
      <c r="D12" t="s">
        <v>46</v>
      </c>
      <c r="E12" t="s">
        <v>47</v>
      </c>
      <c r="F12" t="s">
        <v>48</v>
      </c>
      <c r="G12" t="s">
        <v>36</v>
      </c>
      <c r="H12">
        <v>0.3</v>
      </c>
      <c r="K12">
        <v>-3.2</v>
      </c>
      <c r="L12" t="b">
        <v>0</v>
      </c>
      <c r="M12">
        <v>104</v>
      </c>
      <c r="N12" t="s">
        <v>49</v>
      </c>
      <c r="O12" t="s">
        <v>23</v>
      </c>
      <c r="P12" t="s">
        <v>24</v>
      </c>
    </row>
    <row r="13" spans="1:16" x14ac:dyDescent="0.35">
      <c r="A13">
        <v>2023</v>
      </c>
      <c r="B13" t="s">
        <v>16</v>
      </c>
      <c r="C13" t="s">
        <v>17</v>
      </c>
      <c r="D13" t="s">
        <v>46</v>
      </c>
      <c r="E13" t="s">
        <v>47</v>
      </c>
      <c r="F13" t="s">
        <v>38</v>
      </c>
      <c r="G13" t="s">
        <v>39</v>
      </c>
      <c r="H13">
        <v>75</v>
      </c>
      <c r="M13">
        <v>104</v>
      </c>
      <c r="N13" t="s">
        <v>50</v>
      </c>
      <c r="O13" t="s">
        <v>23</v>
      </c>
      <c r="P13" t="s">
        <v>24</v>
      </c>
    </row>
    <row r="14" spans="1:16" x14ac:dyDescent="0.35">
      <c r="A14">
        <v>2023</v>
      </c>
      <c r="B14" t="s">
        <v>16</v>
      </c>
      <c r="C14" t="s">
        <v>17</v>
      </c>
      <c r="D14" t="s">
        <v>46</v>
      </c>
      <c r="E14" t="s">
        <v>47</v>
      </c>
      <c r="F14" t="s">
        <v>51</v>
      </c>
      <c r="G14" t="s">
        <v>52</v>
      </c>
      <c r="H14">
        <v>12.6</v>
      </c>
      <c r="M14">
        <v>104</v>
      </c>
      <c r="N14" t="s">
        <v>53</v>
      </c>
      <c r="O14" t="s">
        <v>23</v>
      </c>
      <c r="P14" t="s">
        <v>24</v>
      </c>
    </row>
    <row r="15" spans="1:16" x14ac:dyDescent="0.35">
      <c r="A15">
        <v>2023</v>
      </c>
      <c r="B15" t="s">
        <v>16</v>
      </c>
      <c r="C15" t="s">
        <v>17</v>
      </c>
      <c r="D15" t="s">
        <v>54</v>
      </c>
      <c r="E15" t="s">
        <v>55</v>
      </c>
      <c r="F15" t="s">
        <v>56</v>
      </c>
      <c r="G15" t="s">
        <v>57</v>
      </c>
      <c r="H15">
        <v>20</v>
      </c>
      <c r="K15">
        <v>-11</v>
      </c>
      <c r="L15" t="b">
        <v>0</v>
      </c>
      <c r="M15">
        <v>104</v>
      </c>
      <c r="N15" t="s">
        <v>58</v>
      </c>
      <c r="O15" t="s">
        <v>23</v>
      </c>
      <c r="P15" t="s">
        <v>24</v>
      </c>
    </row>
    <row r="16" spans="1:16" x14ac:dyDescent="0.35">
      <c r="A16">
        <v>2023</v>
      </c>
      <c r="B16" t="s">
        <v>59</v>
      </c>
      <c r="C16" t="s">
        <v>60</v>
      </c>
      <c r="D16" t="s">
        <v>18</v>
      </c>
      <c r="E16" t="s">
        <v>19</v>
      </c>
      <c r="F16" t="s">
        <v>20</v>
      </c>
      <c r="G16" t="s">
        <v>36</v>
      </c>
      <c r="H16">
        <v>70</v>
      </c>
      <c r="M16">
        <v>57</v>
      </c>
      <c r="N16" t="s">
        <v>61</v>
      </c>
      <c r="O16" t="s">
        <v>23</v>
      </c>
      <c r="P16" t="s">
        <v>24</v>
      </c>
    </row>
    <row r="17" spans="1:16" x14ac:dyDescent="0.35">
      <c r="A17">
        <v>2023</v>
      </c>
      <c r="B17" t="s">
        <v>59</v>
      </c>
      <c r="C17" t="s">
        <v>60</v>
      </c>
      <c r="D17" t="s">
        <v>25</v>
      </c>
      <c r="E17" t="s">
        <v>19</v>
      </c>
      <c r="F17" t="s">
        <v>20</v>
      </c>
      <c r="G17" t="s">
        <v>26</v>
      </c>
      <c r="H17">
        <v>70</v>
      </c>
      <c r="M17">
        <v>57</v>
      </c>
      <c r="N17" t="s">
        <v>62</v>
      </c>
      <c r="O17" t="s">
        <v>23</v>
      </c>
      <c r="P17" t="s">
        <v>24</v>
      </c>
    </row>
    <row r="18" spans="1:16" x14ac:dyDescent="0.35">
      <c r="A18">
        <v>2023</v>
      </c>
      <c r="B18" t="s">
        <v>59</v>
      </c>
      <c r="C18" t="s">
        <v>60</v>
      </c>
      <c r="D18" t="s">
        <v>27</v>
      </c>
      <c r="E18" t="s">
        <v>19</v>
      </c>
      <c r="F18" t="s">
        <v>28</v>
      </c>
      <c r="G18" t="s">
        <v>29</v>
      </c>
      <c r="H18">
        <v>65</v>
      </c>
      <c r="M18">
        <v>57</v>
      </c>
      <c r="N18" t="s">
        <v>63</v>
      </c>
      <c r="O18" t="s">
        <v>64</v>
      </c>
      <c r="P18" t="s">
        <v>65</v>
      </c>
    </row>
    <row r="19" spans="1:16" x14ac:dyDescent="0.35">
      <c r="A19">
        <v>2023</v>
      </c>
      <c r="B19" t="s">
        <v>59</v>
      </c>
      <c r="C19" t="s">
        <v>60</v>
      </c>
      <c r="D19" t="s">
        <v>30</v>
      </c>
      <c r="E19" t="s">
        <v>19</v>
      </c>
      <c r="F19" t="s">
        <v>31</v>
      </c>
      <c r="G19" t="s">
        <v>66</v>
      </c>
      <c r="H19">
        <v>40</v>
      </c>
      <c r="M19">
        <v>57</v>
      </c>
      <c r="N19" t="s">
        <v>67</v>
      </c>
      <c r="O19" t="s">
        <v>23</v>
      </c>
      <c r="P19" t="s">
        <v>24</v>
      </c>
    </row>
    <row r="20" spans="1:16" x14ac:dyDescent="0.35">
      <c r="A20">
        <v>2023</v>
      </c>
      <c r="B20" t="s">
        <v>59</v>
      </c>
      <c r="C20" t="s">
        <v>60</v>
      </c>
      <c r="D20" t="s">
        <v>68</v>
      </c>
      <c r="E20" t="s">
        <v>69</v>
      </c>
      <c r="F20" t="s">
        <v>70</v>
      </c>
      <c r="G20" t="s">
        <v>71</v>
      </c>
      <c r="H20">
        <v>20</v>
      </c>
      <c r="M20">
        <v>57</v>
      </c>
      <c r="N20" t="s">
        <v>72</v>
      </c>
      <c r="O20" t="s">
        <v>23</v>
      </c>
      <c r="P20" t="s">
        <v>24</v>
      </c>
    </row>
    <row r="21" spans="1:16" x14ac:dyDescent="0.35">
      <c r="A21">
        <v>2023</v>
      </c>
      <c r="B21" t="s">
        <v>73</v>
      </c>
      <c r="C21" t="s">
        <v>74</v>
      </c>
      <c r="D21" t="s">
        <v>68</v>
      </c>
      <c r="E21" t="s">
        <v>69</v>
      </c>
      <c r="F21" t="s">
        <v>70</v>
      </c>
      <c r="G21" t="s">
        <v>71</v>
      </c>
      <c r="H21">
        <v>30</v>
      </c>
      <c r="M21">
        <v>76</v>
      </c>
      <c r="N21" t="s">
        <v>75</v>
      </c>
      <c r="O21" t="s">
        <v>23</v>
      </c>
      <c r="P21" t="s">
        <v>24</v>
      </c>
    </row>
    <row r="22" spans="1:16" x14ac:dyDescent="0.35">
      <c r="A22">
        <v>2023</v>
      </c>
      <c r="B22" t="s">
        <v>73</v>
      </c>
      <c r="C22" t="s">
        <v>74</v>
      </c>
      <c r="D22" t="s">
        <v>27</v>
      </c>
      <c r="E22" t="s">
        <v>19</v>
      </c>
      <c r="F22" t="s">
        <v>28</v>
      </c>
      <c r="G22" t="s">
        <v>29</v>
      </c>
      <c r="H22">
        <v>85</v>
      </c>
      <c r="M22">
        <v>76</v>
      </c>
      <c r="N22" t="s">
        <v>76</v>
      </c>
      <c r="O22" t="s">
        <v>23</v>
      </c>
      <c r="P22" t="s">
        <v>24</v>
      </c>
    </row>
    <row r="23" spans="1:16" x14ac:dyDescent="0.35">
      <c r="A23">
        <v>2023</v>
      </c>
      <c r="B23" t="s">
        <v>73</v>
      </c>
      <c r="C23" t="s">
        <v>74</v>
      </c>
      <c r="D23" t="s">
        <v>25</v>
      </c>
      <c r="E23" t="s">
        <v>19</v>
      </c>
      <c r="F23" t="s">
        <v>20</v>
      </c>
      <c r="G23" t="s">
        <v>26</v>
      </c>
      <c r="H23">
        <v>60.4</v>
      </c>
      <c r="I23">
        <v>51.8</v>
      </c>
      <c r="J23">
        <v>68.400000000000006</v>
      </c>
      <c r="M23">
        <v>76</v>
      </c>
      <c r="N23" t="s">
        <v>77</v>
      </c>
      <c r="O23" t="s">
        <v>78</v>
      </c>
      <c r="P23" t="s">
        <v>24</v>
      </c>
    </row>
    <row r="24" spans="1:16" x14ac:dyDescent="0.35">
      <c r="A24">
        <v>2023</v>
      </c>
      <c r="B24" t="s">
        <v>79</v>
      </c>
      <c r="C24" t="s">
        <v>80</v>
      </c>
      <c r="D24" t="s">
        <v>68</v>
      </c>
      <c r="E24" t="s">
        <v>69</v>
      </c>
      <c r="F24" t="s">
        <v>70</v>
      </c>
      <c r="G24" t="s">
        <v>71</v>
      </c>
      <c r="H24">
        <v>10.199999999999999</v>
      </c>
      <c r="M24">
        <v>59</v>
      </c>
      <c r="N24" t="s">
        <v>81</v>
      </c>
      <c r="O24" t="s">
        <v>23</v>
      </c>
      <c r="P24" t="s">
        <v>24</v>
      </c>
    </row>
    <row r="25" spans="1:16" x14ac:dyDescent="0.35">
      <c r="A25">
        <v>2023</v>
      </c>
      <c r="B25" t="s">
        <v>79</v>
      </c>
      <c r="C25" t="s">
        <v>80</v>
      </c>
      <c r="D25" t="s">
        <v>18</v>
      </c>
      <c r="E25" t="s">
        <v>19</v>
      </c>
      <c r="F25" t="s">
        <v>20</v>
      </c>
      <c r="G25" t="s">
        <v>36</v>
      </c>
      <c r="H25">
        <v>15</v>
      </c>
      <c r="M25">
        <v>59</v>
      </c>
      <c r="N25" t="s">
        <v>82</v>
      </c>
      <c r="O25" t="s">
        <v>83</v>
      </c>
      <c r="P25" t="s">
        <v>84</v>
      </c>
    </row>
    <row r="26" spans="1:16" x14ac:dyDescent="0.35">
      <c r="A26">
        <v>2023</v>
      </c>
      <c r="B26" t="s">
        <v>79</v>
      </c>
      <c r="C26" t="s">
        <v>80</v>
      </c>
      <c r="D26" t="s">
        <v>25</v>
      </c>
      <c r="E26" t="s">
        <v>19</v>
      </c>
      <c r="F26" t="s">
        <v>28</v>
      </c>
      <c r="G26" t="s">
        <v>85</v>
      </c>
      <c r="H26">
        <v>8.5</v>
      </c>
      <c r="M26">
        <v>59</v>
      </c>
      <c r="N26" t="s">
        <v>86</v>
      </c>
      <c r="O26" t="s">
        <v>83</v>
      </c>
      <c r="P26" t="s">
        <v>84</v>
      </c>
    </row>
    <row r="27" spans="1:16" x14ac:dyDescent="0.35">
      <c r="A27">
        <v>2023</v>
      </c>
      <c r="B27" t="s">
        <v>79</v>
      </c>
      <c r="C27" t="s">
        <v>80</v>
      </c>
      <c r="D27" t="s">
        <v>30</v>
      </c>
      <c r="E27" t="s">
        <v>19</v>
      </c>
      <c r="F27" t="s">
        <v>31</v>
      </c>
      <c r="G27" t="s">
        <v>66</v>
      </c>
      <c r="H27">
        <v>14</v>
      </c>
      <c r="M27">
        <v>59</v>
      </c>
      <c r="N27" t="s">
        <v>86</v>
      </c>
      <c r="O27" t="s">
        <v>83</v>
      </c>
      <c r="P27" t="s">
        <v>84</v>
      </c>
    </row>
    <row r="28" spans="1:16" x14ac:dyDescent="0.35">
      <c r="A28">
        <v>2023</v>
      </c>
      <c r="B28" t="s">
        <v>87</v>
      </c>
      <c r="C28" t="s">
        <v>88</v>
      </c>
      <c r="D28" t="s">
        <v>68</v>
      </c>
      <c r="E28" t="s">
        <v>69</v>
      </c>
      <c r="F28" t="s">
        <v>70</v>
      </c>
      <c r="G28" t="s">
        <v>71</v>
      </c>
      <c r="H28">
        <v>31.1</v>
      </c>
      <c r="M28">
        <v>91</v>
      </c>
      <c r="N28" t="s">
        <v>89</v>
      </c>
      <c r="O28" t="s">
        <v>23</v>
      </c>
      <c r="P28" t="s">
        <v>24</v>
      </c>
    </row>
    <row r="29" spans="1:16" x14ac:dyDescent="0.35">
      <c r="A29">
        <v>2023</v>
      </c>
      <c r="B29" t="s">
        <v>87</v>
      </c>
      <c r="C29" t="s">
        <v>88</v>
      </c>
      <c r="D29" t="s">
        <v>18</v>
      </c>
      <c r="E29" t="s">
        <v>19</v>
      </c>
      <c r="F29" t="s">
        <v>38</v>
      </c>
      <c r="G29" t="s">
        <v>39</v>
      </c>
      <c r="H29">
        <v>60</v>
      </c>
      <c r="M29">
        <v>91</v>
      </c>
      <c r="N29" t="s">
        <v>90</v>
      </c>
      <c r="O29" t="s">
        <v>23</v>
      </c>
      <c r="P29" t="s">
        <v>24</v>
      </c>
    </row>
    <row r="30" spans="1:16" x14ac:dyDescent="0.35">
      <c r="A30">
        <v>2023</v>
      </c>
      <c r="B30" t="s">
        <v>87</v>
      </c>
      <c r="C30" t="s">
        <v>88</v>
      </c>
      <c r="D30" t="s">
        <v>25</v>
      </c>
      <c r="E30" t="s">
        <v>19</v>
      </c>
      <c r="F30" t="s">
        <v>20</v>
      </c>
      <c r="G30" t="s">
        <v>26</v>
      </c>
      <c r="H30">
        <v>58</v>
      </c>
      <c r="M30">
        <v>91</v>
      </c>
      <c r="N30" t="s">
        <v>91</v>
      </c>
      <c r="O30" t="s">
        <v>23</v>
      </c>
      <c r="P30" t="s">
        <v>24</v>
      </c>
    </row>
    <row r="31" spans="1:16" x14ac:dyDescent="0.35">
      <c r="A31">
        <v>2023</v>
      </c>
      <c r="B31" t="s">
        <v>92</v>
      </c>
      <c r="C31" t="s">
        <v>93</v>
      </c>
      <c r="D31" t="s">
        <v>68</v>
      </c>
      <c r="E31" t="s">
        <v>69</v>
      </c>
      <c r="F31" t="s">
        <v>70</v>
      </c>
      <c r="G31" t="s">
        <v>71</v>
      </c>
      <c r="H31">
        <v>16</v>
      </c>
      <c r="M31">
        <v>20</v>
      </c>
      <c r="N31" t="s">
        <v>94</v>
      </c>
      <c r="O31" t="s">
        <v>23</v>
      </c>
      <c r="P31" t="s">
        <v>24</v>
      </c>
    </row>
    <row r="32" spans="1:16" x14ac:dyDescent="0.35">
      <c r="A32">
        <v>2023</v>
      </c>
      <c r="B32" t="s">
        <v>92</v>
      </c>
      <c r="C32" t="s">
        <v>93</v>
      </c>
      <c r="D32" t="s">
        <v>18</v>
      </c>
      <c r="E32" t="s">
        <v>19</v>
      </c>
      <c r="F32" t="s">
        <v>20</v>
      </c>
      <c r="G32" t="s">
        <v>36</v>
      </c>
      <c r="H32">
        <v>25</v>
      </c>
      <c r="M32">
        <v>20</v>
      </c>
      <c r="N32" t="s">
        <v>95</v>
      </c>
      <c r="O32" t="s">
        <v>23</v>
      </c>
      <c r="P32" t="s">
        <v>24</v>
      </c>
    </row>
    <row r="33" spans="1:16" x14ac:dyDescent="0.35">
      <c r="A33">
        <v>2023</v>
      </c>
      <c r="B33" t="s">
        <v>96</v>
      </c>
      <c r="C33" t="s">
        <v>97</v>
      </c>
      <c r="D33" t="s">
        <v>68</v>
      </c>
      <c r="E33" t="s">
        <v>69</v>
      </c>
      <c r="F33" t="s">
        <v>70</v>
      </c>
      <c r="G33" t="s">
        <v>71</v>
      </c>
      <c r="H33">
        <v>9.1</v>
      </c>
      <c r="M33">
        <v>37</v>
      </c>
      <c r="N33" t="s">
        <v>98</v>
      </c>
      <c r="O33" t="s">
        <v>23</v>
      </c>
      <c r="P33" t="s">
        <v>24</v>
      </c>
    </row>
    <row r="34" spans="1:16" x14ac:dyDescent="0.35">
      <c r="A34">
        <v>2023</v>
      </c>
      <c r="B34" t="s">
        <v>96</v>
      </c>
      <c r="C34" t="s">
        <v>97</v>
      </c>
      <c r="D34" t="s">
        <v>46</v>
      </c>
      <c r="E34" t="s">
        <v>47</v>
      </c>
      <c r="F34" t="s">
        <v>48</v>
      </c>
      <c r="G34" t="s">
        <v>36</v>
      </c>
      <c r="H34">
        <v>1.5</v>
      </c>
      <c r="M34">
        <v>37</v>
      </c>
      <c r="N34" t="s">
        <v>99</v>
      </c>
      <c r="O34" t="s">
        <v>100</v>
      </c>
      <c r="P34" t="s">
        <v>101</v>
      </c>
    </row>
    <row r="35" spans="1:16" x14ac:dyDescent="0.35">
      <c r="A35">
        <v>2016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36</v>
      </c>
      <c r="H35">
        <v>38</v>
      </c>
      <c r="K35" t="s">
        <v>102</v>
      </c>
      <c r="L35" t="b">
        <v>0</v>
      </c>
      <c r="M35">
        <v>104</v>
      </c>
      <c r="N35" t="s">
        <v>103</v>
      </c>
      <c r="O35" t="s">
        <v>104</v>
      </c>
      <c r="P35" t="s">
        <v>105</v>
      </c>
    </row>
    <row r="36" spans="1:16" x14ac:dyDescent="0.35">
      <c r="A36">
        <v>2017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36</v>
      </c>
      <c r="H36">
        <v>39.5</v>
      </c>
      <c r="K36" t="s">
        <v>102</v>
      </c>
      <c r="L36" t="b">
        <v>0</v>
      </c>
      <c r="M36">
        <v>104</v>
      </c>
      <c r="N36" t="s">
        <v>103</v>
      </c>
      <c r="O36" t="s">
        <v>104</v>
      </c>
      <c r="P36" t="s">
        <v>105</v>
      </c>
    </row>
    <row r="37" spans="1:16" x14ac:dyDescent="0.35">
      <c r="A37">
        <v>2018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36</v>
      </c>
      <c r="H37">
        <v>40</v>
      </c>
      <c r="K37" t="s">
        <v>102</v>
      </c>
      <c r="L37" t="b">
        <v>1</v>
      </c>
      <c r="M37">
        <v>104</v>
      </c>
      <c r="N37" t="s">
        <v>103</v>
      </c>
      <c r="O37" t="s">
        <v>104</v>
      </c>
      <c r="P37" t="s">
        <v>105</v>
      </c>
    </row>
    <row r="38" spans="1:16" x14ac:dyDescent="0.35">
      <c r="A38">
        <v>2019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36</v>
      </c>
      <c r="H38">
        <v>41.2</v>
      </c>
      <c r="K38" t="s">
        <v>102</v>
      </c>
      <c r="L38" t="b">
        <v>1</v>
      </c>
      <c r="M38">
        <v>104</v>
      </c>
      <c r="N38" t="s">
        <v>103</v>
      </c>
      <c r="O38" t="s">
        <v>104</v>
      </c>
      <c r="P38" t="s">
        <v>105</v>
      </c>
    </row>
    <row r="39" spans="1:16" x14ac:dyDescent="0.35">
      <c r="A39">
        <v>2020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G39" t="s">
        <v>36</v>
      </c>
      <c r="H39">
        <v>40.5</v>
      </c>
      <c r="K39" t="s">
        <v>102</v>
      </c>
      <c r="L39" t="b">
        <v>1</v>
      </c>
      <c r="M39">
        <v>104</v>
      </c>
      <c r="N39" t="s">
        <v>103</v>
      </c>
      <c r="O39" t="s">
        <v>104</v>
      </c>
      <c r="P39" t="s">
        <v>105</v>
      </c>
    </row>
    <row r="40" spans="1:16" x14ac:dyDescent="0.35">
      <c r="A40">
        <v>2021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36</v>
      </c>
      <c r="H40">
        <v>42.8</v>
      </c>
      <c r="K40" t="s">
        <v>102</v>
      </c>
      <c r="L40" t="b">
        <v>1</v>
      </c>
      <c r="M40">
        <v>104</v>
      </c>
      <c r="N40" t="s">
        <v>103</v>
      </c>
      <c r="O40" t="s">
        <v>104</v>
      </c>
      <c r="P40" t="s">
        <v>105</v>
      </c>
    </row>
    <row r="41" spans="1:16" x14ac:dyDescent="0.35">
      <c r="A41">
        <v>2022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36</v>
      </c>
      <c r="H41">
        <v>43.5</v>
      </c>
      <c r="K41" t="s">
        <v>102</v>
      </c>
      <c r="L41" t="b">
        <v>1</v>
      </c>
      <c r="M41">
        <v>104</v>
      </c>
      <c r="N41" t="s">
        <v>103</v>
      </c>
      <c r="O41" t="s">
        <v>104</v>
      </c>
      <c r="P41" t="s">
        <v>105</v>
      </c>
    </row>
    <row r="42" spans="1:16" x14ac:dyDescent="0.35">
      <c r="A42">
        <v>2023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36</v>
      </c>
      <c r="H42">
        <v>44.8</v>
      </c>
      <c r="K42" t="s">
        <v>102</v>
      </c>
      <c r="L42" t="b">
        <v>1</v>
      </c>
      <c r="M42">
        <v>104</v>
      </c>
      <c r="N42" t="s">
        <v>103</v>
      </c>
      <c r="O42" t="s">
        <v>104</v>
      </c>
      <c r="P42" t="s">
        <v>105</v>
      </c>
    </row>
    <row r="43" spans="1:16" x14ac:dyDescent="0.35">
      <c r="A43">
        <v>2016</v>
      </c>
      <c r="B43" t="s">
        <v>16</v>
      </c>
      <c r="C43" t="s">
        <v>17</v>
      </c>
      <c r="D43" t="s">
        <v>30</v>
      </c>
      <c r="E43" t="s">
        <v>19</v>
      </c>
      <c r="F43" t="s">
        <v>31</v>
      </c>
      <c r="G43" t="s">
        <v>66</v>
      </c>
      <c r="H43">
        <v>29</v>
      </c>
      <c r="K43" t="s">
        <v>106</v>
      </c>
      <c r="L43" t="b">
        <v>0</v>
      </c>
      <c r="M43">
        <v>104</v>
      </c>
      <c r="N43" t="s">
        <v>103</v>
      </c>
      <c r="O43" t="s">
        <v>104</v>
      </c>
      <c r="P43" t="s">
        <v>105</v>
      </c>
    </row>
    <row r="44" spans="1:16" x14ac:dyDescent="0.35">
      <c r="A44">
        <v>2017</v>
      </c>
      <c r="B44" t="s">
        <v>16</v>
      </c>
      <c r="C44" t="s">
        <v>17</v>
      </c>
      <c r="D44" t="s">
        <v>30</v>
      </c>
      <c r="E44" t="s">
        <v>19</v>
      </c>
      <c r="F44" t="s">
        <v>31</v>
      </c>
      <c r="G44" t="s">
        <v>66</v>
      </c>
      <c r="H44">
        <v>28.5</v>
      </c>
      <c r="K44" t="s">
        <v>106</v>
      </c>
      <c r="L44" t="b">
        <v>0</v>
      </c>
      <c r="M44">
        <v>104</v>
      </c>
      <c r="N44" t="s">
        <v>103</v>
      </c>
      <c r="O44" t="s">
        <v>104</v>
      </c>
      <c r="P44" t="s">
        <v>105</v>
      </c>
    </row>
    <row r="45" spans="1:16" x14ac:dyDescent="0.35">
      <c r="A45">
        <v>2018</v>
      </c>
      <c r="B45" t="s">
        <v>16</v>
      </c>
      <c r="C45" t="s">
        <v>17</v>
      </c>
      <c r="D45" t="s">
        <v>30</v>
      </c>
      <c r="E45" t="s">
        <v>19</v>
      </c>
      <c r="F45" t="s">
        <v>31</v>
      </c>
      <c r="G45" t="s">
        <v>66</v>
      </c>
      <c r="H45">
        <v>28</v>
      </c>
      <c r="K45" t="s">
        <v>106</v>
      </c>
      <c r="L45" t="b">
        <v>1</v>
      </c>
      <c r="M45">
        <v>104</v>
      </c>
      <c r="N45" t="s">
        <v>103</v>
      </c>
      <c r="O45" t="s">
        <v>104</v>
      </c>
      <c r="P45" t="s">
        <v>105</v>
      </c>
    </row>
    <row r="46" spans="1:16" x14ac:dyDescent="0.35">
      <c r="A46">
        <v>2019</v>
      </c>
      <c r="B46" t="s">
        <v>16</v>
      </c>
      <c r="C46" t="s">
        <v>17</v>
      </c>
      <c r="D46" t="s">
        <v>30</v>
      </c>
      <c r="E46" t="s">
        <v>19</v>
      </c>
      <c r="F46" t="s">
        <v>31</v>
      </c>
      <c r="G46" t="s">
        <v>66</v>
      </c>
      <c r="H46">
        <v>27.5</v>
      </c>
      <c r="K46" t="s">
        <v>106</v>
      </c>
      <c r="L46" t="b">
        <v>1</v>
      </c>
      <c r="M46">
        <v>104</v>
      </c>
      <c r="N46" t="s">
        <v>103</v>
      </c>
      <c r="O46" t="s">
        <v>104</v>
      </c>
      <c r="P46" t="s">
        <v>105</v>
      </c>
    </row>
    <row r="47" spans="1:16" x14ac:dyDescent="0.35">
      <c r="A47">
        <v>2020</v>
      </c>
      <c r="B47" t="s">
        <v>16</v>
      </c>
      <c r="C47" t="s">
        <v>17</v>
      </c>
      <c r="D47" t="s">
        <v>30</v>
      </c>
      <c r="E47" t="s">
        <v>19</v>
      </c>
      <c r="F47" t="s">
        <v>31</v>
      </c>
      <c r="G47" t="s">
        <v>66</v>
      </c>
      <c r="H47">
        <v>27.8</v>
      </c>
      <c r="K47" t="s">
        <v>106</v>
      </c>
      <c r="L47" t="b">
        <v>1</v>
      </c>
      <c r="M47">
        <v>104</v>
      </c>
      <c r="N47" t="s">
        <v>103</v>
      </c>
      <c r="O47" t="s">
        <v>104</v>
      </c>
      <c r="P47" t="s">
        <v>105</v>
      </c>
    </row>
    <row r="48" spans="1:16" x14ac:dyDescent="0.35">
      <c r="A48">
        <v>2021</v>
      </c>
      <c r="B48" t="s">
        <v>16</v>
      </c>
      <c r="C48" t="s">
        <v>17</v>
      </c>
      <c r="D48" t="s">
        <v>30</v>
      </c>
      <c r="E48" t="s">
        <v>19</v>
      </c>
      <c r="F48" t="s">
        <v>31</v>
      </c>
      <c r="G48" t="s">
        <v>66</v>
      </c>
      <c r="H48">
        <v>27</v>
      </c>
      <c r="K48" t="s">
        <v>106</v>
      </c>
      <c r="L48" t="b">
        <v>1</v>
      </c>
      <c r="M48">
        <v>104</v>
      </c>
      <c r="N48" t="s">
        <v>103</v>
      </c>
      <c r="O48" t="s">
        <v>104</v>
      </c>
      <c r="P48" t="s">
        <v>105</v>
      </c>
    </row>
    <row r="49" spans="1:16" x14ac:dyDescent="0.35">
      <c r="A49">
        <v>2022</v>
      </c>
      <c r="B49" t="s">
        <v>16</v>
      </c>
      <c r="C49" t="s">
        <v>17</v>
      </c>
      <c r="D49" t="s">
        <v>30</v>
      </c>
      <c r="E49" t="s">
        <v>19</v>
      </c>
      <c r="F49" t="s">
        <v>31</v>
      </c>
      <c r="G49" t="s">
        <v>66</v>
      </c>
      <c r="H49">
        <v>27.3</v>
      </c>
      <c r="K49" t="s">
        <v>106</v>
      </c>
      <c r="L49" t="b">
        <v>1</v>
      </c>
      <c r="M49">
        <v>104</v>
      </c>
      <c r="N49" t="s">
        <v>103</v>
      </c>
      <c r="O49" t="s">
        <v>104</v>
      </c>
      <c r="P49" t="s">
        <v>105</v>
      </c>
    </row>
    <row r="50" spans="1:16" x14ac:dyDescent="0.35">
      <c r="A50">
        <v>2023</v>
      </c>
      <c r="B50" t="s">
        <v>16</v>
      </c>
      <c r="C50" t="s">
        <v>17</v>
      </c>
      <c r="D50" t="s">
        <v>30</v>
      </c>
      <c r="E50" t="s">
        <v>19</v>
      </c>
      <c r="F50" t="s">
        <v>31</v>
      </c>
      <c r="G50" t="s">
        <v>66</v>
      </c>
      <c r="H50">
        <v>27</v>
      </c>
      <c r="K50" t="s">
        <v>106</v>
      </c>
      <c r="L50" t="b">
        <v>1</v>
      </c>
      <c r="M50">
        <v>104</v>
      </c>
      <c r="N50" t="s">
        <v>103</v>
      </c>
      <c r="O50" t="s">
        <v>104</v>
      </c>
      <c r="P50" t="s">
        <v>105</v>
      </c>
    </row>
    <row r="51" spans="1:16" x14ac:dyDescent="0.35">
      <c r="A51">
        <v>2016</v>
      </c>
      <c r="B51" t="s">
        <v>16</v>
      </c>
      <c r="C51" t="s">
        <v>17</v>
      </c>
      <c r="D51" t="s">
        <v>27</v>
      </c>
      <c r="E51" t="s">
        <v>19</v>
      </c>
      <c r="F51" t="s">
        <v>28</v>
      </c>
      <c r="G51" t="s">
        <v>29</v>
      </c>
      <c r="H51">
        <v>44</v>
      </c>
      <c r="K51" t="s">
        <v>107</v>
      </c>
      <c r="L51" t="b">
        <v>0</v>
      </c>
      <c r="M51">
        <v>104</v>
      </c>
      <c r="N51" t="s">
        <v>103</v>
      </c>
      <c r="O51" t="s">
        <v>104</v>
      </c>
      <c r="P51" t="s">
        <v>105</v>
      </c>
    </row>
    <row r="52" spans="1:16" x14ac:dyDescent="0.35">
      <c r="A52">
        <v>2017</v>
      </c>
      <c r="B52" t="s">
        <v>16</v>
      </c>
      <c r="C52" t="s">
        <v>17</v>
      </c>
      <c r="D52" t="s">
        <v>27</v>
      </c>
      <c r="E52" t="s">
        <v>19</v>
      </c>
      <c r="F52" t="s">
        <v>28</v>
      </c>
      <c r="G52" t="s">
        <v>29</v>
      </c>
      <c r="H52">
        <v>46.5</v>
      </c>
      <c r="K52" t="s">
        <v>107</v>
      </c>
      <c r="L52" t="b">
        <v>0</v>
      </c>
      <c r="M52">
        <v>104</v>
      </c>
      <c r="N52" t="s">
        <v>103</v>
      </c>
      <c r="O52" t="s">
        <v>104</v>
      </c>
      <c r="P52" t="s">
        <v>105</v>
      </c>
    </row>
    <row r="53" spans="1:16" x14ac:dyDescent="0.35">
      <c r="A53">
        <v>2018</v>
      </c>
      <c r="B53" t="s">
        <v>16</v>
      </c>
      <c r="C53" t="s">
        <v>17</v>
      </c>
      <c r="D53" t="s">
        <v>27</v>
      </c>
      <c r="E53" t="s">
        <v>19</v>
      </c>
      <c r="F53" t="s">
        <v>28</v>
      </c>
      <c r="G53" t="s">
        <v>29</v>
      </c>
      <c r="H53">
        <v>48</v>
      </c>
      <c r="K53" t="s">
        <v>107</v>
      </c>
      <c r="L53" t="b">
        <v>1</v>
      </c>
      <c r="M53">
        <v>104</v>
      </c>
      <c r="N53" t="s">
        <v>103</v>
      </c>
      <c r="O53" t="s">
        <v>104</v>
      </c>
      <c r="P53" t="s">
        <v>105</v>
      </c>
    </row>
    <row r="54" spans="1:16" x14ac:dyDescent="0.35">
      <c r="A54">
        <v>2019</v>
      </c>
      <c r="B54" t="s">
        <v>16</v>
      </c>
      <c r="C54" t="s">
        <v>17</v>
      </c>
      <c r="D54" t="s">
        <v>27</v>
      </c>
      <c r="E54" t="s">
        <v>19</v>
      </c>
      <c r="F54" t="s">
        <v>28</v>
      </c>
      <c r="G54" t="s">
        <v>29</v>
      </c>
      <c r="H54">
        <v>49.5</v>
      </c>
      <c r="K54" t="s">
        <v>107</v>
      </c>
      <c r="L54" t="b">
        <v>1</v>
      </c>
      <c r="M54">
        <v>104</v>
      </c>
      <c r="N54" t="s">
        <v>103</v>
      </c>
      <c r="O54" t="s">
        <v>104</v>
      </c>
      <c r="P54" t="s">
        <v>105</v>
      </c>
    </row>
    <row r="55" spans="1:16" x14ac:dyDescent="0.35">
      <c r="A55">
        <v>2020</v>
      </c>
      <c r="B55" t="s">
        <v>16</v>
      </c>
      <c r="C55" t="s">
        <v>17</v>
      </c>
      <c r="D55" t="s">
        <v>27</v>
      </c>
      <c r="E55" t="s">
        <v>19</v>
      </c>
      <c r="F55" t="s">
        <v>28</v>
      </c>
      <c r="G55" t="s">
        <v>29</v>
      </c>
      <c r="H55">
        <v>51</v>
      </c>
      <c r="K55" t="s">
        <v>107</v>
      </c>
      <c r="L55" t="b">
        <v>1</v>
      </c>
      <c r="M55">
        <v>104</v>
      </c>
      <c r="N55" t="s">
        <v>103</v>
      </c>
      <c r="O55" t="s">
        <v>104</v>
      </c>
      <c r="P55" t="s">
        <v>105</v>
      </c>
    </row>
    <row r="56" spans="1:16" x14ac:dyDescent="0.35">
      <c r="A56">
        <v>2021</v>
      </c>
      <c r="B56" t="s">
        <v>16</v>
      </c>
      <c r="C56" t="s">
        <v>17</v>
      </c>
      <c r="D56" t="s">
        <v>27</v>
      </c>
      <c r="E56" t="s">
        <v>19</v>
      </c>
      <c r="F56" t="s">
        <v>28</v>
      </c>
      <c r="G56" t="s">
        <v>29</v>
      </c>
      <c r="H56">
        <v>52</v>
      </c>
      <c r="K56" t="s">
        <v>107</v>
      </c>
      <c r="L56" t="b">
        <v>1</v>
      </c>
      <c r="M56">
        <v>104</v>
      </c>
      <c r="N56" t="s">
        <v>103</v>
      </c>
      <c r="O56" t="s">
        <v>104</v>
      </c>
      <c r="P56" t="s">
        <v>105</v>
      </c>
    </row>
    <row r="57" spans="1:16" x14ac:dyDescent="0.35">
      <c r="A57">
        <v>2022</v>
      </c>
      <c r="B57" t="s">
        <v>16</v>
      </c>
      <c r="C57" t="s">
        <v>17</v>
      </c>
      <c r="D57" t="s">
        <v>27</v>
      </c>
      <c r="E57" t="s">
        <v>19</v>
      </c>
      <c r="F57" t="s">
        <v>28</v>
      </c>
      <c r="G57" t="s">
        <v>29</v>
      </c>
      <c r="H57">
        <v>53</v>
      </c>
      <c r="K57" t="s">
        <v>107</v>
      </c>
      <c r="L57" t="b">
        <v>1</v>
      </c>
      <c r="M57">
        <v>104</v>
      </c>
      <c r="N57" t="s">
        <v>103</v>
      </c>
      <c r="O57" t="s">
        <v>104</v>
      </c>
      <c r="P57" t="s">
        <v>105</v>
      </c>
    </row>
    <row r="58" spans="1:16" x14ac:dyDescent="0.35">
      <c r="A58">
        <v>2023</v>
      </c>
      <c r="B58" t="s">
        <v>16</v>
      </c>
      <c r="C58" t="s">
        <v>17</v>
      </c>
      <c r="D58" t="s">
        <v>27</v>
      </c>
      <c r="E58" t="s">
        <v>19</v>
      </c>
      <c r="F58" t="s">
        <v>28</v>
      </c>
      <c r="G58" t="s">
        <v>29</v>
      </c>
      <c r="H58">
        <v>54.3</v>
      </c>
      <c r="K58" t="s">
        <v>107</v>
      </c>
      <c r="L58" t="b">
        <v>1</v>
      </c>
      <c r="M58">
        <v>104</v>
      </c>
      <c r="N58" t="s">
        <v>103</v>
      </c>
      <c r="O58" t="s">
        <v>104</v>
      </c>
      <c r="P58" t="s">
        <v>105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AMR Dashboard</vt:lpstr>
      <vt:lpstr>AMR Regional Analysis</vt:lpstr>
      <vt:lpstr>Raw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2026-07-19T19:04:57Z</dcterms:created>
  <dcterms:modified xsi:type="dcterms:W3CDTF">2026-07-19T19:35:48Z</dcterms:modified>
</cp:coreProperties>
</file>